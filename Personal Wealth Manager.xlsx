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gisto Mensal" sheetId="2" state="visible" r:id="rId4"/>
    <sheet name="Dados" sheetId="3" state="visible" r:id="rId5"/>
    <sheet name="2026 (formato antigo)" sheetId="4" state="visible" r:id="rId6"/>
    <sheet name="2025" sheetId="5" state="visible" r:id="rId7"/>
    <sheet name="2024" sheetId="6" state="visible" r:id="rId8"/>
    <sheet name="202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6" authorId="0">
      <text>
        <r>
          <rPr>
            <sz val="10"/>
            <rFont val="Arial"/>
            <family val="2"/>
          </rPr>
          <t xml:space="preserve">Valor fixo (não fórmula): fecho de Dezembro/2023, folha '2023' célula D9 (linha Total). Nesse ano a Conta Principal e os Criptoativos ainda não eram registados à parte, por isso este total já os inclui de forma indiferenciada.</t>
        </r>
      </text>
    </comment>
    <comment ref="B57" authorId="0">
      <text>
        <r>
          <rPr>
            <sz val="10"/>
            <rFont val="Arial"/>
            <family val="2"/>
          </rPr>
          <t xml:space="preserve">Valor fixo (não fórmula): Conta Principal (folha '2024' célula R3 = 2134.56€) + Total Investimentos (folha '2024' célula R17 = 38151€), ambos fecho de Dezembro/2024. Os Criptoativos desse ano só têm registo até Novembro (259.51€) e foram excluídos deste total por não haver valor de fecho de Dezembro fiável.</t>
        </r>
      </text>
    </comment>
    <comment ref="B58" authorId="0">
      <text>
        <r>
          <rPr>
            <sz val="10"/>
            <rFont val="Arial"/>
            <family val="2"/>
          </rPr>
          <t xml:space="preserve">Valor fixo (não fórmula): Conta Principal (folha '2025' célula AI3 = 1559.32€) + Total Investimentos (folha '2025' célula AI19 = 39563.15€), ambos fecho de Dezembro/2025. Os Criptoativos deixaram de ter registo a partir de Agosto/2025 (último valor: 368.99€ em Julho) e foram excluídos deste total por não haver valor de fecho de Dezembro.</t>
        </r>
      </text>
    </comment>
  </commentList>
</comments>
</file>

<file path=xl/sharedStrings.xml><?xml version="1.0" encoding="utf-8"?>
<sst xmlns="http://schemas.openxmlformats.org/spreadsheetml/2006/main" count="626" uniqueCount="140">
  <si>
    <t xml:space="preserve">Dashboard — Portefólio</t>
  </si>
  <si>
    <t xml:space="preserve">Ano corrente</t>
  </si>
  <si>
    <t xml:space="preserve">Mês mais recente com dados</t>
  </si>
  <si>
    <t xml:space="preserve">Conta Principal</t>
  </si>
  <si>
    <t xml:space="preserve">Numerário (dinheiro em casa)</t>
  </si>
  <si>
    <t xml:space="preserve">Criptoativos (fora da alocação de investimentos)</t>
  </si>
  <si>
    <t xml:space="preserve">Saldo do mês mais recente</t>
  </si>
  <si>
    <t xml:space="preserve">Média do saldo (todos os meses registados)</t>
  </si>
  <si>
    <t xml:space="preserve">Evolução mensal (ano corrente)</t>
  </si>
  <si>
    <t xml:space="preserve">Mês</t>
  </si>
  <si>
    <t xml:space="preserve">Património Total</t>
  </si>
  <si>
    <t xml:space="preserve">Investimentos</t>
  </si>
  <si>
    <t xml:space="preserve">Numerário</t>
  </si>
  <si>
    <t xml:space="preserve">Criptoativos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</si>
  <si>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</si>
  <si>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</si>
  <si>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</si>
  <si>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</si>
  <si>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</si>
  <si>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</si>
  <si>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</si>
  <si>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</si>
  <si>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</si>
  <si>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</si>
  <si>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</si>
  <si>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</si>
  <si>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Saldo por plataforma de investimento (ano corrente)</t>
  </si>
  <si>
    <t xml:space="preserve">Plataforma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</si>
  <si>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</si>
  <si>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</si>
  <si>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</si>
  <si>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</si>
  <si>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</si>
  <si>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</si>
  <si>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</si>
  <si>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</si>
  <si>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</si>
  <si>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</si>
  <si>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</si>
  <si>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</si>
  <si>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Activobank</t>
  </si>
  <si>
    <t xml:space="preserve">Bondora Go &amp; Grow</t>
  </si>
  <si>
    <t xml:space="preserve">Degiro</t>
  </si>
  <si>
    <t xml:space="preserve">Golden SGF</t>
  </si>
  <si>
    <t xml:space="preserve">IGCP</t>
  </si>
  <si>
    <t xml:space="preserve">PPR Santander</t>
  </si>
  <si>
    <t xml:space="preserve">Revolut</t>
  </si>
  <si>
    <t xml:space="preserve">Trade Republic</t>
  </si>
  <si>
    <t xml:space="preserve">XTB</t>
  </si>
  <si>
    <t xml:space="preserve">Resumo por plataforma (mês mais recente)</t>
  </si>
  <si>
    <t xml:space="preserve">Saldo atual</t>
  </si>
  <si>
    <t xml:space="preserve">Investido acumulado</t>
  </si>
  <si>
    <t xml:space="preserve">Ganho/Perda acumulado</t>
  </si>
  <si>
    <t xml:space="preserve">Alocação %</t>
  </si>
  <si>
    <t xml:space="preserve">Total Investimentos</t>
  </si>
  <si>
    <t xml:space="preserve">Evolução do património — fecho de cada ano</t>
  </si>
  <si>
    <t xml:space="preserve">Ano</t>
  </si>
  <si>
    <t xml:space="preserve">Património (fecho de Dezembro)</t>
  </si>
  <si>
    <t xml:space="preserve">(mês mais recente disponível, não fecho de ano)</t>
  </si>
  <si>
    <t xml:space="preserve">Registo do mês</t>
  </si>
  <si>
    <t xml:space="preserve">Mês (nº 1-12)</t>
  </si>
  <si>
    <t xml:space="preserve">Como usar: 1) preenche o Ano e o nº do mês acima. 2) Preenche a coluna Saldo (e Investido, só nas linhas de Investimento) para cada ativo. 3) O Ganho/Perda calcula-se sozinho. 4) Seleciona o intervalo A10:H21 (SEM o cabeçalho da linha 9), copia, e cola como VALORES (Ctrl+Shift+V no LibreOffice) na primeira linha livre da tabela 'Dados'. Só depois disso podes mudar o nº do mês aqui para o mês seguinte.</t>
  </si>
  <si>
    <t xml:space="preserve">MêsNum</t>
  </si>
  <si>
    <t xml:space="preserve">Categoria</t>
  </si>
  <si>
    <t xml:space="preserve">Ativo</t>
  </si>
  <si>
    <t xml:space="preserve">Saldo</t>
  </si>
  <si>
    <t xml:space="preserve">Investido</t>
  </si>
  <si>
    <t xml:space="preserve">Ganho/Perda</t>
  </si>
  <si>
    <t xml:space="preserve">Investimento</t>
  </si>
  <si>
    <t xml:space="preserve">Criptoativo</t>
  </si>
  <si>
    <t xml:space="preserve">Bitcoin</t>
  </si>
  <si>
    <t xml:space="preserve">Nota: dados migrados do formato largo original (folha '2026 (formato antigo)'). Corrigido nesta migração: o total de Janeiro/2026 excluía a XTB (bug na fórmula original =SUM(B8:B16)); nesta tabela os totais são sempre calculados por SUMIFS, por isso esse tipo de erro deixa de poder acontecer.</t>
  </si>
  <si>
    <t xml:space="preserve">Portfólio</t>
  </si>
  <si>
    <t xml:space="preserve">Conta principal</t>
  </si>
  <si>
    <t xml:space="preserve">Ativos</t>
  </si>
  <si>
    <t xml:space="preserve">Saldo 2</t>
  </si>
  <si>
    <t xml:space="preserve">Investido 2</t>
  </si>
  <si>
    <t xml:space="preserve">Ganho/Perda 2</t>
  </si>
  <si>
    <t xml:space="preserve">Saldo 3</t>
  </si>
  <si>
    <t xml:space="preserve">Investido 3</t>
  </si>
  <si>
    <t xml:space="preserve">Ganho/Perda 3</t>
  </si>
  <si>
    <t xml:space="preserve">Saldo 4</t>
  </si>
  <si>
    <t xml:space="preserve">Investido 4</t>
  </si>
  <si>
    <t xml:space="preserve">Ganho/Perda 4</t>
  </si>
  <si>
    <t xml:space="preserve">Saldo 5</t>
  </si>
  <si>
    <t xml:space="preserve">Investido 5</t>
  </si>
  <si>
    <t xml:space="preserve">Ganho/Perda 5</t>
  </si>
  <si>
    <t xml:space="preserve">Saldo 6</t>
  </si>
  <si>
    <t xml:space="preserve">Investido 6</t>
  </si>
  <si>
    <t xml:space="preserve">Ganho/Perda 6</t>
  </si>
  <si>
    <t xml:space="preserve">Saldo 7</t>
  </si>
  <si>
    <t xml:space="preserve">Investido 7</t>
  </si>
  <si>
    <t xml:space="preserve">Ganho/Perda 7</t>
  </si>
  <si>
    <t xml:space="preserve">Saldo 8</t>
  </si>
  <si>
    <t xml:space="preserve">Investido 8</t>
  </si>
  <si>
    <t xml:space="preserve">Ganho/Perda 8</t>
  </si>
  <si>
    <t xml:space="preserve">Saldo 9</t>
  </si>
  <si>
    <t xml:space="preserve">Investido 9</t>
  </si>
  <si>
    <t xml:space="preserve">Ganho/Perda 9</t>
  </si>
  <si>
    <t xml:space="preserve">Saldo 10</t>
  </si>
  <si>
    <t xml:space="preserve">Investido 10</t>
  </si>
  <si>
    <t xml:space="preserve">Ganho/Perda 10</t>
  </si>
  <si>
    <t xml:space="preserve">Saldo 11</t>
  </si>
  <si>
    <t xml:space="preserve">Investido 11</t>
  </si>
  <si>
    <t xml:space="preserve">Ganho/Perda 11</t>
  </si>
  <si>
    <t xml:space="preserve">Saldo 12</t>
  </si>
  <si>
    <t xml:space="preserve">Investido 12</t>
  </si>
  <si>
    <t xml:space="preserve">Ganho/Perda 12</t>
  </si>
  <si>
    <t xml:space="preserve">Extra</t>
  </si>
  <si>
    <t xml:space="preserve">Total</t>
  </si>
  <si>
    <t xml:space="preserve">Column 1</t>
  </si>
  <si>
    <t xml:space="preserve">Diferença</t>
  </si>
  <si>
    <t xml:space="preserve">Total 2</t>
  </si>
  <si>
    <t xml:space="preserve">Diferença 2</t>
  </si>
  <si>
    <t xml:space="preserve">Total 3</t>
  </si>
  <si>
    <t xml:space="preserve">Diferença 3</t>
  </si>
  <si>
    <t xml:space="preserve">Total 4</t>
  </si>
  <si>
    <t xml:space="preserve">Diferença 4</t>
  </si>
  <si>
    <t xml:space="preserve">Total 5</t>
  </si>
  <si>
    <t xml:space="preserve">Diferença 5</t>
  </si>
  <si>
    <t xml:space="preserve">Total 6</t>
  </si>
  <si>
    <t xml:space="preserve">Diferença 6</t>
  </si>
  <si>
    <t xml:space="preserve">Total 7</t>
  </si>
  <si>
    <t xml:space="preserve">Diferença 7</t>
  </si>
  <si>
    <t xml:space="preserve">Total 8</t>
  </si>
  <si>
    <t xml:space="preserve">Diferença 8</t>
  </si>
  <si>
    <t xml:space="preserve">Total 9</t>
  </si>
  <si>
    <t xml:space="preserve">Diferença 9</t>
  </si>
  <si>
    <t xml:space="preserve">Total 10</t>
  </si>
  <si>
    <t xml:space="preserve">Diferença 10</t>
  </si>
  <si>
    <t xml:space="preserve">Total 11</t>
  </si>
  <si>
    <t xml:space="preserve">Diferença 11</t>
  </si>
  <si>
    <t xml:space="preserve">Total 12</t>
  </si>
  <si>
    <t xml:space="preserve">Diferença 12</t>
  </si>
  <si>
    <t xml:space="preserve">Certificados Aforro</t>
  </si>
  <si>
    <t xml:space="preserve">Binance</t>
  </si>
  <si>
    <t xml:space="preserve">Coinbase</t>
  </si>
  <si>
    <t xml:space="preserve">%</t>
  </si>
  <si>
    <t xml:space="preserve">Dezembro </t>
  </si>
  <si>
    <t xml:space="preserve">Stoik PPR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</si>
</sst>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€]#,##0.00"/>
    <numFmt numFmtId="166" formatCode="0.0%"/>
    <numFmt numFmtId="167" formatCode="General"/>
    <numFmt numFmtId="168" formatCode="0.00%"/>
  </numFmts>
  <fonts count="3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3"/>
      <name val="Arial"/>
      <family val="0"/>
      <charset val="1"/>
    </font>
    <font>
      <b val="true"/>
      <i val="true"/>
      <sz val="15"/>
      <color theme="1"/>
      <name val="Montserrat"/>
      <family val="0"/>
      <charset val="1"/>
    </font>
    <font>
      <sz val="15"/>
      <color theme="1"/>
      <name val="Montserrat"/>
      <family val="0"/>
      <charset val="1"/>
    </font>
    <font>
      <b val="true"/>
      <sz val="15"/>
      <color rgb="FF000000"/>
      <name val="Montserrat"/>
      <family val="0"/>
      <charset val="1"/>
    </font>
    <font>
      <sz val="15"/>
      <color rgb="FF000000"/>
      <name val="Montserrat"/>
      <family val="0"/>
      <charset val="1"/>
    </font>
    <font>
      <b val="true"/>
      <sz val="15"/>
      <color rgb="FF00FF00"/>
      <name val="Montserrat"/>
      <family val="0"/>
      <charset val="1"/>
    </font>
    <font>
      <b val="true"/>
      <sz val="15"/>
      <color rgb="FFFFFFFF"/>
      <name val="Montserrat"/>
      <family val="0"/>
      <charset val="1"/>
    </font>
    <font>
      <b val="true"/>
      <sz val="15"/>
      <color theme="1"/>
      <name val="Montserrat"/>
      <family val="0"/>
      <charset val="1"/>
    </font>
    <font>
      <b val="true"/>
      <sz val="15"/>
      <color rgb="FFF1C232"/>
      <name val="Montserrat"/>
      <family val="0"/>
      <charset val="1"/>
    </font>
    <font>
      <b val="true"/>
      <sz val="15"/>
      <color rgb="FFFF0000"/>
      <name val="Montserrat"/>
      <family val="0"/>
      <charset val="1"/>
    </font>
    <font>
      <sz val="15"/>
      <color theme="1"/>
      <name val="Arial"/>
      <family val="0"/>
      <charset val="1"/>
    </font>
    <font>
      <sz val="15"/>
      <color theme="0"/>
      <name val="Montserrat"/>
      <family val="0"/>
      <charset val="1"/>
    </font>
    <font>
      <sz val="15"/>
      <color rgb="FFFFFFFF"/>
      <name val="Montserrat"/>
      <family val="0"/>
      <charset val="1"/>
    </font>
    <font>
      <sz val="15"/>
      <color theme="9"/>
      <name val="Montserrat"/>
      <family val="0"/>
      <charset val="1"/>
    </font>
    <font>
      <sz val="15"/>
      <color rgb="FFF1C232"/>
      <name val="Montserrat"/>
      <family val="0"/>
      <charset val="1"/>
    </font>
    <font>
      <sz val="15"/>
      <color rgb="FF3C78D8"/>
      <name val="Montserrat"/>
      <family val="0"/>
      <charset val="1"/>
    </font>
    <font>
      <sz val="11"/>
      <color theme="1"/>
      <name val="Montserrat"/>
      <family val="0"/>
      <charset val="1"/>
    </font>
    <font>
      <sz val="11"/>
      <color theme="1"/>
      <name val="Arial"/>
      <family val="0"/>
      <charset val="1"/>
    </font>
    <font>
      <sz val="15"/>
      <color theme="1"/>
      <name val="Lexend"/>
      <family val="0"/>
      <charset val="1"/>
    </font>
    <font>
      <b val="true"/>
      <sz val="15"/>
      <color theme="1"/>
      <name val="Lexend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2CC"/>
        <bgColor rgb="FFFEF8E3"/>
      </patternFill>
    </fill>
    <fill>
      <patternFill patternType="solid">
        <fgColor rgb="FF4472C4"/>
        <bgColor rgb="FF3C78D8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CE5CD"/>
      </patternFill>
    </fill>
    <fill>
      <patternFill patternType="solid">
        <fgColor rgb="FFF7CB4D"/>
        <bgColor rgb="FFF1C232"/>
      </patternFill>
    </fill>
    <fill>
      <patternFill patternType="solid">
        <fgColor rgb="FFF6B26B"/>
        <bgColor rgb="FFF7CB4D"/>
      </patternFill>
    </fill>
    <fill>
      <patternFill patternType="solid">
        <fgColor rgb="FFFCE5CD"/>
        <bgColor rgb="FFFCE4D6"/>
      </patternFill>
    </fill>
    <fill>
      <patternFill patternType="solid">
        <fgColor rgb="FF3C78D8"/>
        <bgColor rgb="FF3A76D9"/>
      </patternFill>
    </fill>
    <fill>
      <patternFill patternType="solid">
        <fgColor rgb="FF6AA84F"/>
        <bgColor rgb="FF8B8B8B"/>
      </patternFill>
    </fill>
    <fill>
      <patternFill patternType="solid">
        <fgColor rgb="FFFFFFFF"/>
        <bgColor rgb="FFFEF8E3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D03B2F"/>
      </patternFill>
    </fill>
    <fill>
      <patternFill patternType="solid">
        <fgColor rgb="FF00FF00"/>
        <bgColor rgb="FF00FFFF"/>
      </patternFill>
    </fill>
    <fill>
      <patternFill patternType="solid">
        <fgColor theme="6"/>
        <bgColor rgb="FFF1C232"/>
      </patternFill>
    </fill>
    <fill>
      <patternFill patternType="solid">
        <fgColor rgb="FFEA9999"/>
        <bgColor rgb="FFEF908C"/>
      </patternFill>
    </fill>
    <fill>
      <patternFill patternType="solid">
        <fgColor theme="4"/>
        <bgColor rgb="FF3C78D8"/>
      </patternFill>
    </fill>
    <fill>
      <patternFill patternType="solid">
        <fgColor rgb="FFFFFF00"/>
        <bgColor rgb="FFF7CB4D"/>
      </patternFill>
    </fill>
    <fill>
      <patternFill patternType="solid">
        <fgColor rgb="FFFEF8E3"/>
        <bgColor rgb="FFFFF2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1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9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9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1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5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5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15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5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15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1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15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1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4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3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3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3C78D8"/>
          <bgColor rgb="FF000000"/>
        </patternFill>
      </fill>
    </dxf>
    <dxf>
      <fill>
        <patternFill patternType="solid">
          <fgColor rgb="FF6AA84F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1C232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BBC04"/>
          <bgColor rgb="FF000000"/>
        </patternFill>
      </fill>
    </dxf>
    <dxf>
      <fill>
        <patternFill patternType="solid">
          <fgColor rgb="FF4285F4"/>
          <bgColor rgb="FF000000"/>
        </patternFill>
      </fill>
    </dxf>
    <dxf>
      <fill>
        <patternFill patternType="solid">
          <fgColor rgb="FF46BDC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A84F"/>
      <rgbColor rgb="FF800080"/>
      <rgbColor rgb="FF3EA8B0"/>
      <rgbColor rgb="FFBFBFBF"/>
      <rgbColor rgb="FF808080"/>
      <rgbColor rgb="FF8FACF6"/>
      <rgbColor rgb="FF993366"/>
      <rgbColor rgb="FFFEF8E3"/>
      <rgbColor rgb="FFD9E1F2"/>
      <rgbColor rgb="FF660066"/>
      <rgbColor rgb="FFEF908C"/>
      <rgbColor rgb="FF3C78D8"/>
      <rgbColor rgb="FFD9D9D9"/>
      <rgbColor rgb="FF000080"/>
      <rgbColor rgb="FFFF00FF"/>
      <rgbColor rgb="FFF7CB4D"/>
      <rgbColor rgb="FF00FFFF"/>
      <rgbColor rgb="FF800080"/>
      <rgbColor rgb="FF800000"/>
      <rgbColor rgb="FF4285F4"/>
      <rgbColor rgb="FF0000FF"/>
      <rgbColor rgb="FFFCE5CD"/>
      <rgbColor rgb="FFFCE4D6"/>
      <rgbColor rgb="FFE2EFDA"/>
      <rgbColor rgb="FFFFF2CC"/>
      <rgbColor rgb="FF8CC195"/>
      <rgbColor rgb="FFEA9999"/>
      <rgbColor rgb="FFF6B26B"/>
      <rgbColor rgb="FFFBCE87"/>
      <rgbColor rgb="FF3A76D9"/>
      <rgbColor rgb="FF46BDC6"/>
      <rgbColor rgb="FFF1C232"/>
      <rgbColor rgb="FFFBBC04"/>
      <rgbColor rgb="FFDFA703"/>
      <rgbColor rgb="FFE36100"/>
      <rgbColor rgb="FF4472C4"/>
      <rgbColor rgb="FF8B8B8B"/>
      <rgbColor rgb="FF003366"/>
      <rgbColor rgb="FF2E9549"/>
      <rgbColor rgb="FF003300"/>
      <rgbColor rgb="FF333300"/>
      <rgbColor rgb="FFD03B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Evolução mensal do património (ano corrente)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Património Total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Dashboard!$B$13:$B$24</c:f>
              <c:numCache>
                <c:formatCode>[$€]#,##0.00</c:formatCode>
                <c:ptCount val="12"/>
                <c:pt idx="0">
                  <c:v>40732.62</c:v>
                </c:pt>
                <c:pt idx="1">
                  <c:v>38134.09</c:v>
                </c:pt>
                <c:pt idx="2">
                  <c:v>36014.37</c:v>
                </c:pt>
                <c:pt idx="3">
                  <c:v>37317.11</c:v>
                </c:pt>
                <c:pt idx="4">
                  <c:v>38051.89</c:v>
                </c:pt>
                <c:pt idx="6">
                  <c:v>39808.01</c:v>
                </c:pt>
                <c:pt idx="7">
                  <c:v>38970.51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17466"/>
        <c:axId val="56599802"/>
      </c:lineChart>
      <c:catAx>
        <c:axId val="8017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6599802"/>
        <c:crosses val="autoZero"/>
        <c:auto val="1"/>
        <c:lblAlgn val="ctr"/>
        <c:lblOffset val="100"/>
        <c:noMultiLvlLbl val="0"/>
      </c:catAx>
      <c:valAx>
        <c:axId val="5659980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€]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17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Saldo por plataforma de investimento (ano corrente)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Dashboard!A28</c:f>
              <c:strCache>
                <c:ptCount val="1"/>
                <c:pt idx="0">
                  <c:v>Plataforma</c:v>
                </c:pt>
              </c:strCache>
            </c:strRef>
          </c:tx>
          <c:spPr>
            <a:solidFill>
              <a:srgbClr val="3a76d9"/>
            </a:solidFill>
            <a:ln w="19080">
              <a:solidFill>
                <a:srgbClr val="3a76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Dashboard!$B$28:$M$28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Dashboard!A29</c:f>
              <c:strCache>
                <c:ptCount val="1"/>
                <c:pt idx="0">
                  <c:v>Activobank</c:v>
                </c:pt>
              </c:strCache>
            </c:strRef>
          </c:tx>
          <c:spPr>
            <a:solidFill>
              <a:srgbClr val="d03b2f"/>
            </a:solidFill>
            <a:ln w="19080">
              <a:solidFill>
                <a:srgbClr val="d03b2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Dashboard!$B$29:$M$29</c:f>
              <c:numCache>
                <c:formatCode>[$€]#,##0.00</c:formatCode>
                <c:ptCount val="12"/>
                <c:pt idx="0">
                  <c:v>4000</c:v>
                </c:pt>
                <c:pt idx="1">
                  <c:v>267.71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Dashboard!A30</c:f>
              <c:strCache>
                <c:ptCount val="1"/>
                <c:pt idx="0">
                  <c:v>Bondora Go &amp; Grow</c:v>
                </c:pt>
              </c:strCache>
            </c:strRef>
          </c:tx>
          <c:spPr>
            <a:solidFill>
              <a:srgbClr val="dfa703"/>
            </a:solidFill>
            <a:ln w="19080">
              <a:solidFill>
                <a:srgbClr val="dfa70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Dashboard!$B$30:$M$30</c:f>
              <c:numCache>
                <c:formatCode>[$€]#,##0.00</c:formatCode>
                <c:ptCount val="12"/>
                <c:pt idx="0">
                  <c:v>6251.29</c:v>
                </c:pt>
                <c:pt idx="1">
                  <c:v>6309.34</c:v>
                </c:pt>
                <c:pt idx="2">
                  <c:v>6386.73</c:v>
                </c:pt>
                <c:pt idx="3">
                  <c:v>6479.54</c:v>
                </c:pt>
                <c:pt idx="4">
                  <c:v>6611.92</c:v>
                </c:pt>
                <c:pt idx="6">
                  <c:v>6889.6</c:v>
                </c:pt>
                <c:pt idx="7">
                  <c:v>7089.2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Dashboard!A31</c:f>
              <c:strCache>
                <c:ptCount val="1"/>
                <c:pt idx="0">
                  <c:v>Degiro</c:v>
                </c:pt>
              </c:strCache>
            </c:strRef>
          </c:tx>
          <c:spPr>
            <a:solidFill>
              <a:srgbClr val="2e9549"/>
            </a:solidFill>
            <a:ln w="19080">
              <a:solidFill>
                <a:srgbClr val="2e954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Dashboard!$B$31:$M$31</c:f>
              <c:numCache>
                <c:formatCode>[$€]#,##0.00</c:formatCode>
                <c:ptCount val="12"/>
                <c:pt idx="0">
                  <c:v>2010.83</c:v>
                </c:pt>
                <c:pt idx="1">
                  <c:v>2046.34</c:v>
                </c:pt>
                <c:pt idx="2">
                  <c:v>1971.27</c:v>
                </c:pt>
                <c:pt idx="3">
                  <c:v>2189.55</c:v>
                </c:pt>
                <c:pt idx="4">
                  <c:v>2274</c:v>
                </c:pt>
                <c:pt idx="6">
                  <c:v>2334.07</c:v>
                </c:pt>
                <c:pt idx="7">
                  <c:v>2430.88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Dashboard!A32</c:f>
              <c:strCache>
                <c:ptCount val="1"/>
                <c:pt idx="0">
                  <c:v>Golden SGF</c:v>
                </c:pt>
              </c:strCache>
            </c:strRef>
          </c:tx>
          <c:spPr>
            <a:solidFill>
              <a:srgbClr val="e36100"/>
            </a:solidFill>
            <a:ln w="19080">
              <a:solidFill>
                <a:srgbClr val="e361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Dashboard!$B$32:$M$32</c:f>
              <c:numCache>
                <c:formatCode>[$€]#,##0.00</c:formatCode>
                <c:ptCount val="12"/>
                <c:pt idx="0">
                  <c:v>2503.69</c:v>
                </c:pt>
                <c:pt idx="1">
                  <c:v>2557.77</c:v>
                </c:pt>
                <c:pt idx="2">
                  <c:v>2504.71</c:v>
                </c:pt>
                <c:pt idx="3">
                  <c:v>2659.51</c:v>
                </c:pt>
                <c:pt idx="4">
                  <c:v>2778.22</c:v>
                </c:pt>
                <c:pt idx="6">
                  <c:v>2884.95</c:v>
                </c:pt>
                <c:pt idx="7">
                  <c:v>2991.1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Dashboard!A33</c:f>
              <c:strCache>
                <c:ptCount val="1"/>
                <c:pt idx="0">
                  <c:v>IGCP</c:v>
                </c:pt>
              </c:strCache>
            </c:strRef>
          </c:tx>
          <c:spPr>
            <a:solidFill>
              <a:srgbClr val="3ea8b0"/>
            </a:solidFill>
            <a:ln w="19080">
              <a:solidFill>
                <a:srgbClr val="3ea8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Dashboard!$B$33:$M$33</c:f>
              <c:numCache>
                <c:formatCode>[$€]#,##0.00</c:formatCode>
                <c:ptCount val="12"/>
                <c:pt idx="0">
                  <c:v>2707.43</c:v>
                </c:pt>
                <c:pt idx="1">
                  <c:v>2707.43</c:v>
                </c:pt>
                <c:pt idx="2">
                  <c:v>2707.43</c:v>
                </c:pt>
                <c:pt idx="3">
                  <c:v>2724.75</c:v>
                </c:pt>
                <c:pt idx="4">
                  <c:v>2724.75</c:v>
                </c:pt>
                <c:pt idx="6">
                  <c:v>2741.98</c:v>
                </c:pt>
                <c:pt idx="7">
                  <c:v>2741.98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Dashboard!A34</c:f>
              <c:strCache>
                <c:ptCount val="1"/>
                <c:pt idx="0">
                  <c:v>PPR Santander</c:v>
                </c:pt>
              </c:strCache>
            </c:strRef>
          </c:tx>
          <c:spPr>
            <a:solidFill>
              <a:srgbClr val="8facf6"/>
            </a:solidFill>
            <a:ln w="19080">
              <a:solidFill>
                <a:srgbClr val="8facf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Dashboard!$B$34:$M$34</c:f>
              <c:numCache>
                <c:formatCode>[$€]#,##0.00</c:formatCode>
                <c:ptCount val="12"/>
                <c:pt idx="0">
                  <c:v>1709.21</c:v>
                </c:pt>
                <c:pt idx="1">
                  <c:v>1766</c:v>
                </c:pt>
                <c:pt idx="2">
                  <c:v>1784.76</c:v>
                </c:pt>
                <c:pt idx="3">
                  <c:v>1846.5</c:v>
                </c:pt>
                <c:pt idx="4">
                  <c:v>1909.28</c:v>
                </c:pt>
                <c:pt idx="6">
                  <c:v>2001.54</c:v>
                </c:pt>
                <c:pt idx="7">
                  <c:v>2048.85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Dashboard!A35</c:f>
              <c:strCache>
                <c:ptCount val="1"/>
                <c:pt idx="0">
                  <c:v>Revolut</c:v>
                </c:pt>
              </c:strCache>
            </c:strRef>
          </c:tx>
          <c:spPr>
            <a:solidFill>
              <a:srgbClr val="ef908c"/>
            </a:solidFill>
            <a:ln w="19080">
              <a:solidFill>
                <a:srgbClr val="ef90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Dashboard!$B$35:$M$35</c:f>
              <c:numCache>
                <c:formatCode>[$€]#,##0.00</c:formatCode>
                <c:ptCount val="12"/>
                <c:pt idx="0">
                  <c:v>226.13</c:v>
                </c:pt>
                <c:pt idx="1">
                  <c:v>246.28</c:v>
                </c:pt>
                <c:pt idx="2">
                  <c:v>266.57</c:v>
                </c:pt>
                <c:pt idx="3">
                  <c:v>287</c:v>
                </c:pt>
                <c:pt idx="4">
                  <c:v>312</c:v>
                </c:pt>
                <c:pt idx="6">
                  <c:v>353.18</c:v>
                </c:pt>
                <c:pt idx="7">
                  <c:v>373.46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Dashboard!A36</c:f>
              <c:strCache>
                <c:ptCount val="1"/>
                <c:pt idx="0">
                  <c:v>Trade Republic</c:v>
                </c:pt>
              </c:strCache>
            </c:strRef>
          </c:tx>
          <c:spPr>
            <a:solidFill>
              <a:srgbClr val="fbce87"/>
            </a:solidFill>
            <a:ln w="19080">
              <a:solidFill>
                <a:srgbClr val="fbce8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Dashboard!$B$36:$M$36</c:f>
              <c:numCache>
                <c:formatCode>[$€]#,##0.00</c:formatCode>
                <c:ptCount val="12"/>
                <c:pt idx="0">
                  <c:v>18991.73</c:v>
                </c:pt>
                <c:pt idx="1">
                  <c:v>18991.73</c:v>
                </c:pt>
                <c:pt idx="2">
                  <c:v>17053.07</c:v>
                </c:pt>
                <c:pt idx="3">
                  <c:v>18081.26</c:v>
                </c:pt>
                <c:pt idx="4">
                  <c:v>19112.77</c:v>
                </c:pt>
                <c:pt idx="6">
                  <c:v>18671.83</c:v>
                </c:pt>
                <c:pt idx="7">
                  <c:v>18697.52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Dashboard!A37</c:f>
              <c:strCache>
                <c:ptCount val="1"/>
                <c:pt idx="0">
                  <c:v>XTB</c:v>
                </c:pt>
              </c:strCache>
            </c:strRef>
          </c:tx>
          <c:spPr>
            <a:solidFill>
              <a:srgbClr val="8cc195"/>
            </a:solidFill>
            <a:ln w="19080">
              <a:solidFill>
                <a:srgbClr val="8cc19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Dashboard!$B$28:$M$28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Dashboard!$B$37:$M$37</c:f>
              <c:numCache>
                <c:formatCode>[$€]#,##0.00</c:formatCode>
                <c:ptCount val="12"/>
                <c:pt idx="0">
                  <c:v>157.01</c:v>
                </c:pt>
                <c:pt idx="1">
                  <c:v>213.06</c:v>
                </c:pt>
                <c:pt idx="2">
                  <c:v>203.32</c:v>
                </c:pt>
                <c:pt idx="3">
                  <c:v>262.41</c:v>
                </c:pt>
                <c:pt idx="4">
                  <c:v>329.06</c:v>
                </c:pt>
                <c:pt idx="6">
                  <c:v>422.2</c:v>
                </c:pt>
                <c:pt idx="7">
                  <c:v>480.4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31775"/>
        <c:axId val="73640726"/>
      </c:lineChart>
      <c:catAx>
        <c:axId val="6531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3640726"/>
        <c:crosses val="autoZero"/>
        <c:auto val="1"/>
        <c:lblAlgn val="ctr"/>
        <c:lblOffset val="100"/>
        <c:noMultiLvlLbl val="0"/>
      </c:catAx>
      <c:valAx>
        <c:axId val="7364072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€]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531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Alocação atual por plataforma (% dos Investimentos)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Dashboard!E41</c:f>
              <c:strCache>
                <c:ptCount val="1"/>
                <c:pt idx="0">
                  <c:v>Alocação %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a76d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03b2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fa70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e9549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361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3ea8b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facf6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f908c"/>
              </a:solidFill>
              <a:ln w="0">
                <a:noFill/>
              </a:ln>
            </c:spPr>
          </c:dPt>
          <c:dPt>
            <c:idx val="8"/>
            <c:spPr>
              <a:solidFill>
                <a:srgbClr val="fbce8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Dashboard!$A$42:$A$50</c:f>
              <c:strCache>
                <c:ptCount val="9"/>
                <c:pt idx="0">
                  <c:v>Activobank</c:v>
                </c:pt>
                <c:pt idx="1">
                  <c:v>Bondora Go &amp; Grow</c:v>
                </c:pt>
                <c:pt idx="2">
                  <c:v>Degiro</c:v>
                </c:pt>
                <c:pt idx="3">
                  <c:v>Golden SGF</c:v>
                </c:pt>
                <c:pt idx="4">
                  <c:v>IGCP</c:v>
                </c:pt>
                <c:pt idx="5">
                  <c:v>PPR Santander</c:v>
                </c:pt>
                <c:pt idx="6">
                  <c:v>Revolut</c:v>
                </c:pt>
                <c:pt idx="7">
                  <c:v>Trade Republic</c:v>
                </c:pt>
                <c:pt idx="8">
                  <c:v>XTB</c:v>
                </c:pt>
              </c:strCache>
            </c:strRef>
          </c:cat>
          <c:val>
            <c:numRef>
              <c:f>Dashboard!$E$42:$E$50</c:f>
              <c:numCache>
                <c:formatCode>0.0%</c:formatCode>
                <c:ptCount val="9"/>
                <c:pt idx="0">
                  <c:v>0.00270611167202793</c:v>
                </c:pt>
                <c:pt idx="1">
                  <c:v>0.191841668653404</c:v>
                </c:pt>
                <c:pt idx="2">
                  <c:v>0.0657823274129924</c:v>
                </c:pt>
                <c:pt idx="3">
                  <c:v>0.0809425062220273</c:v>
                </c:pt>
                <c:pt idx="4">
                  <c:v>0.0742010408246713</c:v>
                </c:pt>
                <c:pt idx="5">
                  <c:v>0.0554441689923441</c:v>
                </c:pt>
                <c:pt idx="6">
                  <c:v>0.0101062446503555</c:v>
                </c:pt>
                <c:pt idx="7">
                  <c:v>0.505975771099756</c:v>
                </c:pt>
                <c:pt idx="8">
                  <c:v>0.0130001604724222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Património no fecho de cada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Dashboard!B55</c:f>
              <c:strCache>
                <c:ptCount val="1"/>
                <c:pt idx="0">
                  <c:v>Património (fecho de Dezembro)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Dashboard!$A$56:$A$59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Dashboard!$B$56:$B$59</c:f>
              <c:numCache>
                <c:formatCode>[$€]#,##0.00</c:formatCode>
                <c:ptCount val="4"/>
                <c:pt idx="0">
                  <c:v>19541.27</c:v>
                </c:pt>
                <c:pt idx="1">
                  <c:v>40285.56</c:v>
                </c:pt>
                <c:pt idx="2">
                  <c:v>41122.47</c:v>
                </c:pt>
                <c:pt idx="3">
                  <c:v>38970.51</c:v>
                </c:pt>
              </c:numCache>
            </c:numRef>
          </c:val>
        </c:ser>
        <c:gapWidth val="150"/>
        <c:overlap val="0"/>
        <c:axId val="22184115"/>
        <c:axId val="91192221"/>
      </c:barChart>
      <c:catAx>
        <c:axId val="221841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1192221"/>
        <c:crosses val="autoZero"/>
        <c:auto val="1"/>
        <c:lblAlgn val="ctr"/>
        <c:lblOffset val="100"/>
        <c:noMultiLvlLbl val="0"/>
      </c:catAx>
      <c:valAx>
        <c:axId val="9119222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€]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184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10</xdr:row>
      <xdr:rowOff>131040</xdr:rowOff>
    </xdr:from>
    <xdr:to>
      <xdr:col>18</xdr:col>
      <xdr:colOff>599400</xdr:colOff>
      <xdr:row>25</xdr:row>
      <xdr:rowOff>149760</xdr:rowOff>
    </xdr:to>
    <xdr:graphicFrame>
      <xdr:nvGraphicFramePr>
        <xdr:cNvPr id="0" name="Chart 1"/>
        <xdr:cNvGraphicFramePr/>
      </xdr:nvGraphicFramePr>
      <xdr:xfrm>
        <a:off x="17868240" y="2093040"/>
        <a:ext cx="647640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131040</xdr:rowOff>
    </xdr:from>
    <xdr:to>
      <xdr:col>18</xdr:col>
      <xdr:colOff>599400</xdr:colOff>
      <xdr:row>45</xdr:row>
      <xdr:rowOff>108000</xdr:rowOff>
    </xdr:to>
    <xdr:graphicFrame>
      <xdr:nvGraphicFramePr>
        <xdr:cNvPr id="1" name="Chart 2"/>
        <xdr:cNvGraphicFramePr/>
      </xdr:nvGraphicFramePr>
      <xdr:xfrm>
        <a:off x="17868240" y="5141160"/>
        <a:ext cx="6476400" cy="359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131040</xdr:rowOff>
    </xdr:from>
    <xdr:to>
      <xdr:col>16</xdr:col>
      <xdr:colOff>21960</xdr:colOff>
      <xdr:row>56</xdr:row>
      <xdr:rowOff>128880</xdr:rowOff>
    </xdr:to>
    <xdr:graphicFrame>
      <xdr:nvGraphicFramePr>
        <xdr:cNvPr id="2" name="Chart 3"/>
        <xdr:cNvGraphicFramePr/>
      </xdr:nvGraphicFramePr>
      <xdr:xfrm>
        <a:off x="17868240" y="7617600"/>
        <a:ext cx="467604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53</xdr:row>
      <xdr:rowOff>130680</xdr:rowOff>
    </xdr:from>
    <xdr:to>
      <xdr:col>16</xdr:col>
      <xdr:colOff>21960</xdr:colOff>
      <xdr:row>68</xdr:row>
      <xdr:rowOff>149760</xdr:rowOff>
    </xdr:to>
    <xdr:graphicFrame>
      <xdr:nvGraphicFramePr>
        <xdr:cNvPr id="3" name="Chart 4"/>
        <xdr:cNvGraphicFramePr/>
      </xdr:nvGraphicFramePr>
      <xdr:xfrm>
        <a:off x="17868240" y="10284480"/>
        <a:ext cx="467604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ivos" displayName="Ativos" ref="A7:AK18" headerRowCount="1" totalsRowCount="0" totalsRowShown="0">
  <tableColumns count="37">
    <tableColumn id="1" name="Ativos"/>
    <tableColumn id="2" name="Saldo"/>
    <tableColumn id="3" name="Investido"/>
    <tableColumn id="4" name="Ganho/Perda"/>
    <tableColumn id="5" name="Saldo 2"/>
    <tableColumn id="6" name="Investido 2"/>
    <tableColumn id="7" name="Ganho/Perda 2"/>
    <tableColumn id="8" name="Saldo 3"/>
    <tableColumn id="9" name="Investido 3"/>
    <tableColumn id="10" name="Ganho/Perda 3"/>
    <tableColumn id="11" name="Saldo 4"/>
    <tableColumn id="12" name="Investido 4"/>
    <tableColumn id="13" name="Ganho/Perda 4"/>
    <tableColumn id="14" name="Saldo 5"/>
    <tableColumn id="15" name="Investido 5"/>
    <tableColumn id="16" name="Ganho/Perda 5"/>
    <tableColumn id="17" name="Saldo 6"/>
    <tableColumn id="18" name="Investido 6"/>
    <tableColumn id="19" name="Ganho/Perda 6"/>
    <tableColumn id="20" name="Saldo 7"/>
    <tableColumn id="21" name="Investido 7"/>
    <tableColumn id="22" name="Ganho/Perda 7"/>
    <tableColumn id="23" name="Saldo 8"/>
    <tableColumn id="24" name="Investido 8"/>
    <tableColumn id="25" name="Ganho/Perda 8"/>
    <tableColumn id="26" name="Saldo 9"/>
    <tableColumn id="27" name="Investido 9"/>
    <tableColumn id="28" name="Ganho/Perda 9"/>
    <tableColumn id="29" name="Saldo 10"/>
    <tableColumn id="30" name="Investido 10"/>
    <tableColumn id="31" name="Ganho/Perda 10"/>
    <tableColumn id="32" name="Saldo 11"/>
    <tableColumn id="33" name="Investido 11"/>
    <tableColumn id="34" name="Ganho/Perda 11"/>
    <tableColumn id="35" name="Saldo 12"/>
    <tableColumn id="36" name="Investido 12"/>
    <tableColumn id="37" name="Ganho/Perda 12"/>
  </tableColumns>
</table>
</file>

<file path=xl/tables/table2.xml><?xml version="1.0" encoding="utf-8"?>
<table xmlns="http://schemas.openxmlformats.org/spreadsheetml/2006/main" id="2" name="TabDados" displayName="TabDados" ref="A1:H85" headerRowCount="1" totalsRowCount="0" totalsRowShown="0">
  <autoFilter ref="A1:H85"/>
  <tableColumns count="8">
    <tableColumn id="1" name="Ano"/>
    <tableColumn id="2" name="Mês"/>
    <tableColumn id="3" name="MêsNum"/>
    <tableColumn id="4" name="Categoria"/>
    <tableColumn id="5" name="Ativo"/>
    <tableColumn id="6" name="Saldo"/>
    <tableColumn id="7" name="Investido"/>
    <tableColumn id="8" name="Ganho/Perda"/>
  </tableColumns>
</table>
</file>

<file path=xl/tables/table3.xml><?xml version="1.0" encoding="utf-8"?>
<table xmlns="http://schemas.openxmlformats.org/spreadsheetml/2006/main" id="3" name="Table1" displayName="Table1" ref="A8:AK19" headerRowCount="1" totalsRowCount="0" totalsRowShown="0">
  <tableColumns count="37">
    <tableColumn id="1" name="Column 1"/>
    <tableColumn id="2" name="Total"/>
    <tableColumn id="3" name="Investido"/>
    <tableColumn id="4" name="Diferença"/>
    <tableColumn id="5" name="Total 2"/>
    <tableColumn id="6" name="Investido 2"/>
    <tableColumn id="7" name="Diferença 2"/>
    <tableColumn id="8" name="Total 3"/>
    <tableColumn id="9" name="Investido 3"/>
    <tableColumn id="10" name="Diferença 3"/>
    <tableColumn id="11" name="Total 4"/>
    <tableColumn id="12" name="Investido 4"/>
    <tableColumn id="13" name="Diferença 4"/>
    <tableColumn id="14" name="Total 5"/>
    <tableColumn id="15" name="Investido 5"/>
    <tableColumn id="16" name="Diferença 5"/>
    <tableColumn id="17" name="Total 6"/>
    <tableColumn id="18" name="Investido 6"/>
    <tableColumn id="19" name="Diferença 6"/>
    <tableColumn id="20" name="Total 7"/>
    <tableColumn id="21" name="Investido 7"/>
    <tableColumn id="22" name="Diferença 7"/>
    <tableColumn id="23" name="Total 8"/>
    <tableColumn id="24" name="Investido 8"/>
    <tableColumn id="25" name="Diferença 8"/>
    <tableColumn id="26" name="Total 9"/>
    <tableColumn id="27" name="Investido 9"/>
    <tableColumn id="28" name="Diferença 9"/>
    <tableColumn id="29" name="Total 10"/>
    <tableColumn id="30" name="Investido 10"/>
    <tableColumn id="31" name="Diferença 10"/>
    <tableColumn id="32" name="Total 11"/>
    <tableColumn id="33" name="Investido 11"/>
    <tableColumn id="34" name="Diferença 11"/>
    <tableColumn id="35" name="Total 12"/>
    <tableColumn id="36" name="Investido 12"/>
    <tableColumn id="37" name="Diferença 12"/>
  </tableColumns>
</table>
</file>

<file path=xl/tables/table4.xml><?xml version="1.0" encoding="utf-8"?>
<table xmlns="http://schemas.openxmlformats.org/spreadsheetml/2006/main" id="4" name="Table2" displayName="Table2" ref="A23:M26" headerRowCount="1" totalsRowCount="0" totalsRowShown="0">
  <tableColumns count="13">
    <tableColumn id="1" name="Column 1"/>
    <tableColumn id="2" name="Janeiro"/>
    <tableColumn id="3" name="Fevereiro"/>
    <tableColumn id="4" name="Março"/>
    <tableColumn id="5" name="Abril"/>
    <tableColumn id="6" name="Maio"/>
    <tableColumn id="7" name="Junho"/>
    <tableColumn id="8" name="Julho"/>
    <tableColumn id="9" name="Agosto"/>
    <tableColumn id="10" name="Setembro"/>
    <tableColumn id="11" name="Outubro"/>
    <tableColumn id="12" name="Novembro"/>
    <tableColumn id="13" name="Dezembro"/>
  </tableColumns>
</table>
</file>

<file path=xl/tables/table5.xml><?xml version="1.0" encoding="utf-8"?>
<table xmlns="http://schemas.openxmlformats.org/spreadsheetml/2006/main" id="5" name="Table3" displayName="Table3" ref="A21:M23" headerRowCount="1" totalsRowCount="0" totalsRowShown="0">
  <tableColumns count="13">
    <tableColumn id="1" name="Revolut"/>
    <tableColumn id="2" name="Janeiro"/>
    <tableColumn id="3" name="Fevereiro"/>
    <tableColumn id="4" name="Março"/>
    <tableColumn id="5" name="Abril"/>
    <tableColumn id="6" name="Maio"/>
    <tableColumn id="7" name="Junho"/>
    <tableColumn id="8" name="Julho"/>
    <tableColumn id="9" name="Agosto"/>
    <tableColumn id="10" name="Setembro"/>
    <tableColumn id="11" name="Outubro"/>
    <tableColumn id="12" name="Novembro"/>
    <tableColumn id="13" name="Dezembr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B7" activeCellId="0" sqref="B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.76"/>
    <col collapsed="false" customWidth="true" hidden="false" outlineLevel="0" max="2" min="2" style="1" width="31.49"/>
    <col collapsed="false" customWidth="true" hidden="false" outlineLevel="0" max="3" min="3" style="1" width="35.71"/>
    <col collapsed="false" customWidth="true" hidden="false" outlineLevel="0" max="4" min="4" style="1" width="32.24"/>
    <col collapsed="false" customWidth="true" hidden="false" outlineLevel="0" max="5" min="5" style="1" width="12.4"/>
    <col collapsed="false" customWidth="true" hidden="false" outlineLevel="0" max="6" min="6" style="1" width="12.83"/>
    <col collapsed="false" customWidth="true" hidden="false" outlineLevel="0" max="7" min="7" style="1" width="51.87"/>
    <col collapsed="false" customWidth="true" hidden="false" outlineLevel="0" max="8" min="8" style="1" width="11.21"/>
    <col collapsed="false" customWidth="true" hidden="false" outlineLevel="0" max="13" min="9" style="1" width="1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n">
        <v>2026</v>
      </c>
    </row>
    <row r="4" customFormat="false" ht="15" hidden="false" customHeight="true" outlineLevel="0" collapsed="false">
      <c r="A4" s="3" t="s">
        <v>2</v>
      </c>
      <c r="B4" s="3" t="n">
        <f aca="false">_xlfn.MAXIFS(Dados!$C$2:$C$1000,Dados!$A$2:$A$1000,$B$3)</f>
        <v>8</v>
      </c>
    </row>
    <row r="6" customFormat="false" ht="15" hidden="false" customHeight="true" outlineLevel="0" collapsed="false">
      <c r="A6" s="5" t="s">
        <v>3</v>
      </c>
      <c r="D6" s="5" t="s">
        <v>4</v>
      </c>
      <c r="G6" s="5" t="s">
        <v>5</v>
      </c>
    </row>
    <row r="7" customFormat="false" ht="15" hidden="false" customHeight="true" outlineLevel="0" collapsed="false">
      <c r="A7" s="1" t="s">
        <v>6</v>
      </c>
      <c r="B7" s="6" t="n">
        <f aca="false">SUMIFS(Dados!$F$2:$F$1000,Dados!$D$2:$D$1000,"Conta Principal",Dados!$A$2:$A$1000,$B$3,Dados!$C$2:$C$1000,$B$4)</f>
        <v>1969.12</v>
      </c>
      <c r="D7" s="1" t="s">
        <v>6</v>
      </c>
      <c r="E7" s="6" t="n">
        <f aca="false">SUMIFS(Dados!$F$2:$F$1000,Dados!$D$2:$D$1000,"Numerário",Dados!$A$2:$A$1000,$B$3,Dados!$C$2:$C$1000,$B$4)</f>
        <v>10</v>
      </c>
      <c r="G7" s="1" t="s">
        <v>6</v>
      </c>
      <c r="H7" s="6" t="n">
        <f aca="false">SUMIFS(Dados!$F$2:$F$1000,Dados!$D$2:$D$1000,"Criptoativo",Dados!$A$2:$A$1000,$B$3,Dados!$C$2:$C$1000,$B$4)</f>
        <v>38</v>
      </c>
    </row>
    <row r="8" customFormat="false" ht="15" hidden="false" customHeight="true" outlineLevel="0" collapsed="false">
      <c r="A8" s="1" t="s">
        <v>7</v>
      </c>
      <c r="B8" s="6" t="n">
        <f aca="false">AVERAGEIFS(Dados!$F$2:$F$1000,Dados!$D$2:$D$1000,"Conta Principal",Dados!$A$2:$A$1000,$B$3)</f>
        <v>2381.33285714286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7" t="s">
        <v>9</v>
      </c>
      <c r="B12" s="7" t="s">
        <v>10</v>
      </c>
      <c r="C12" s="7" t="s">
        <v>3</v>
      </c>
      <c r="D12" s="7" t="s">
        <v>11</v>
      </c>
      <c r="E12" s="7" t="s">
        <v>12</v>
      </c>
      <c r="F12" s="7" t="s">
        <v>13</v>
      </c>
    </row>
    <row r="13" customFormat="false" ht="15" hidden="false" customHeight="true" outlineLevel="0" collapsed="false">
      <c r="A13" s="8" t="s">
        <v>14</v>
      </c>
      <c r="B13" s="6" t="n">
        <f aca="false">IF(COUNTIFS(Dados!$A$2:$A$1000,$B$3,Dados!$C$2:$C$1000,1)=0,"",SUM(C13:F13))</f>
        <v>40732.62</v>
      </c>
      <c r="C13" s="6" t="n">
        <f aca="false">IF(COUNTIFS(Dados!$A$2:$A$1000,$B$3,Dados!$C$2:$C$1000,1)=0,"",SUMIFS(Dados!$F$2:$F$1000,Dados!$D$2:$D$1000,"Conta Principal",Dados!$A$2:$A$1000,$B$3,Dados!$C$2:$C$1000,1))</f>
        <v>1670.18</v>
      </c>
      <c r="D13" s="6" t="n">
        <f aca="false">IF(COUNTIFS(Dados!$A$2:$A$1000,$B$3,Dados!$C$2:$C$1000,1)=0,"",SUMIFS(Dados!$F$2:$F$1000,Dados!$D$2:$D$1000,"Investimento",Dados!$A$2:$A$1000,$B$3,Dados!$C$2:$C$1000,1))</f>
        <v>38557.32</v>
      </c>
      <c r="E13" s="6" t="n">
        <f aca="false">IF(COUNTIFS(Dados!$A$2:$A$1000,$B$3,Dados!$C$2:$C$1000,1)=0,"",SUMIFS(Dados!$F$2:$F$1000,Dados!$D$2:$D$1000,"Numerário",Dados!$A$2:$A$1000,$B$3,Dados!$C$2:$C$1000,1))</f>
        <v>470</v>
      </c>
      <c r="F13" s="6" t="n">
        <f aca="false">IF(COUNTIFS(Dados!$A$2:$A$1000,$B$3,Dados!$C$2:$C$1000,1)=0,"",SUMIFS(Dados!$F$2:$F$1000,Dados!$D$2:$D$1000,"Criptoativo",Dados!$A$2:$A$1000,$B$3,Dados!$C$2:$C$1000,1))</f>
        <v>35.12</v>
      </c>
    </row>
    <row r="14" customFormat="false" ht="15" hidden="false" customHeight="true" outlineLevel="0" collapsed="false">
      <c r="A14" s="8" t="s">
        <v>15</v>
      </c>
      <c r="B14" s="6" t="n">
        <f aca="false">IF(COUNTIFS(Dados!$A$2:$A$1000,$B$3,Dados!$C$2:$C$1000,2)=0,"",SUM(C14:F14))</f>
        <v>38134.09</v>
      </c>
      <c r="C14" s="6" t="n">
        <f aca="false">IF(COUNTIFS(Dados!$A$2:$A$1000,$B$3,Dados!$C$2:$C$1000,2)=0,"",SUMIFS(Dados!$F$2:$F$1000,Dados!$D$2:$D$1000,"Conta Principal",Dados!$A$2:$A$1000,$B$3,Dados!$C$2:$C$1000,2))</f>
        <v>2628.38</v>
      </c>
      <c r="D14" s="6" t="n">
        <f aca="false">IF(COUNTIFS(Dados!$A$2:$A$1000,$B$3,Dados!$C$2:$C$1000,2)=0,"",SUMIFS(Dados!$F$2:$F$1000,Dados!$D$2:$D$1000,"Investimento",Dados!$A$2:$A$1000,$B$3,Dados!$C$2:$C$1000,2))</f>
        <v>35105.66</v>
      </c>
      <c r="E14" s="6" t="n">
        <f aca="false">IF(COUNTIFS(Dados!$A$2:$A$1000,$B$3,Dados!$C$2:$C$1000,2)=0,"",SUMIFS(Dados!$F$2:$F$1000,Dados!$D$2:$D$1000,"Numerário",Dados!$A$2:$A$1000,$B$3,Dados!$C$2:$C$1000,2))</f>
        <v>370</v>
      </c>
      <c r="F14" s="6" t="n">
        <f aca="false">IF(COUNTIFS(Dados!$A$2:$A$1000,$B$3,Dados!$C$2:$C$1000,2)=0,"",SUMIFS(Dados!$F$2:$F$1000,Dados!$D$2:$D$1000,"Criptoativo",Dados!$A$2:$A$1000,$B$3,Dados!$C$2:$C$1000,2))</f>
        <v>30.05</v>
      </c>
    </row>
    <row r="15" customFormat="false" ht="15" hidden="false" customHeight="true" outlineLevel="0" collapsed="false">
      <c r="A15" s="8" t="s">
        <v>16</v>
      </c>
      <c r="B15" s="6" t="n">
        <f aca="false">IF(COUNTIFS(Dados!$A$2:$A$1000,$B$3,Dados!$C$2:$C$1000,3)=0,"",SUM(C15:F15))</f>
        <v>36014.37</v>
      </c>
      <c r="C15" s="6" t="n">
        <f aca="false">IF(COUNTIFS(Dados!$A$2:$A$1000,$B$3,Dados!$C$2:$C$1000,3)=0,"",SUMIFS(Dados!$F$2:$F$1000,Dados!$D$2:$D$1000,"Conta Principal",Dados!$A$2:$A$1000,$B$3,Dados!$C$2:$C$1000,3))</f>
        <v>2675.51</v>
      </c>
      <c r="D15" s="6" t="n">
        <f aca="false">IF(COUNTIFS(Dados!$A$2:$A$1000,$B$3,Dados!$C$2:$C$1000,3)=0,"",SUMIFS(Dados!$F$2:$F$1000,Dados!$D$2:$D$1000,"Investimento",Dados!$A$2:$A$1000,$B$3,Dados!$C$2:$C$1000,3))</f>
        <v>32977.86</v>
      </c>
      <c r="E15" s="6" t="n">
        <f aca="false">IF(COUNTIFS(Dados!$A$2:$A$1000,$B$3,Dados!$C$2:$C$1000,3)=0,"",SUMIFS(Dados!$F$2:$F$1000,Dados!$D$2:$D$1000,"Numerário",Dados!$A$2:$A$1000,$B$3,Dados!$C$2:$C$1000,3))</f>
        <v>330</v>
      </c>
      <c r="F15" s="6" t="n">
        <f aca="false">IF(COUNTIFS(Dados!$A$2:$A$1000,$B$3,Dados!$C$2:$C$1000,3)=0,"",SUMIFS(Dados!$F$2:$F$1000,Dados!$D$2:$D$1000,"Criptoativo",Dados!$A$2:$A$1000,$B$3,Dados!$C$2:$C$1000,3))</f>
        <v>31</v>
      </c>
    </row>
    <row r="16" customFormat="false" ht="15" hidden="false" customHeight="true" outlineLevel="0" collapsed="false">
      <c r="A16" s="8" t="s">
        <v>17</v>
      </c>
      <c r="B16" s="6" t="n">
        <f aca="false">IF(COUNTIFS(Dados!$A$2:$A$1000,$B$3,Dados!$C$2:$C$1000,4)=0,"",SUM(C16:F16))</f>
        <v>37317.11</v>
      </c>
      <c r="C16" s="6" t="n">
        <f aca="false">IF(COUNTIFS(Dados!$A$2:$A$1000,$B$3,Dados!$C$2:$C$1000,4)=0,"",SUMIFS(Dados!$F$2:$F$1000,Dados!$D$2:$D$1000,"Conta Principal",Dados!$A$2:$A$1000,$B$3,Dados!$C$2:$C$1000,4))</f>
        <v>2561.59</v>
      </c>
      <c r="D16" s="6" t="n">
        <f aca="false">IF(COUNTIFS(Dados!$A$2:$A$1000,$B$3,Dados!$C$2:$C$1000,4)=0,"",SUMIFS(Dados!$F$2:$F$1000,Dados!$D$2:$D$1000,"Investimento",Dados!$A$2:$A$1000,$B$3,Dados!$C$2:$C$1000,4))</f>
        <v>34630.52</v>
      </c>
      <c r="E16" s="6" t="n">
        <f aca="false">IF(COUNTIFS(Dados!$A$2:$A$1000,$B$3,Dados!$C$2:$C$1000,4)=0,"",SUMIFS(Dados!$F$2:$F$1000,Dados!$D$2:$D$1000,"Numerário",Dados!$A$2:$A$1000,$B$3,Dados!$C$2:$C$1000,4))</f>
        <v>90</v>
      </c>
      <c r="F16" s="6" t="n">
        <f aca="false">IF(COUNTIFS(Dados!$A$2:$A$1000,$B$3,Dados!$C$2:$C$1000,4)=0,"",SUMIFS(Dados!$F$2:$F$1000,Dados!$D$2:$D$1000,"Criptoativo",Dados!$A$2:$A$1000,$B$3,Dados!$C$2:$C$1000,4))</f>
        <v>35</v>
      </c>
    </row>
    <row r="17" customFormat="false" ht="15" hidden="false" customHeight="true" outlineLevel="0" collapsed="false">
      <c r="A17" s="8" t="s">
        <v>18</v>
      </c>
      <c r="B17" s="6" t="n">
        <f aca="false">IF(COUNTIFS(Dados!$A$2:$A$1000,$B$3,Dados!$C$2:$C$1000,5)=0,"",SUM(C17:F17))</f>
        <v>38051.89</v>
      </c>
      <c r="C17" s="6" t="n">
        <f aca="false">IF(COUNTIFS(Dados!$A$2:$A$1000,$B$3,Dados!$C$2:$C$1000,5)=0,"",SUMIFS(Dados!$F$2:$F$1000,Dados!$D$2:$D$1000,"Conta Principal",Dados!$A$2:$A$1000,$B$3,Dados!$C$2:$C$1000,5))</f>
        <v>1786.89</v>
      </c>
      <c r="D17" s="6" t="n">
        <f aca="false">IF(COUNTIFS(Dados!$A$2:$A$1000,$B$3,Dados!$C$2:$C$1000,5)=0,"",SUMIFS(Dados!$F$2:$F$1000,Dados!$D$2:$D$1000,"Investimento",Dados!$A$2:$A$1000,$B$3,Dados!$C$2:$C$1000,5))</f>
        <v>36152</v>
      </c>
      <c r="E17" s="6" t="n">
        <f aca="false">IF(COUNTIFS(Dados!$A$2:$A$1000,$B$3,Dados!$C$2:$C$1000,5)=0,"",SUMIFS(Dados!$F$2:$F$1000,Dados!$D$2:$D$1000,"Numerário",Dados!$A$2:$A$1000,$B$3,Dados!$C$2:$C$1000,5))</f>
        <v>80</v>
      </c>
      <c r="F17" s="6" t="n">
        <f aca="false">IF(COUNTIFS(Dados!$A$2:$A$1000,$B$3,Dados!$C$2:$C$1000,5)=0,"",SUMIFS(Dados!$F$2:$F$1000,Dados!$D$2:$D$1000,"Criptoativo",Dados!$A$2:$A$1000,$B$3,Dados!$C$2:$C$1000,5))</f>
        <v>33</v>
      </c>
    </row>
    <row r="18" customFormat="false" ht="15" hidden="false" customHeight="true" outlineLevel="0" collapsed="false">
      <c r="A18" s="8" t="s">
        <v>19</v>
      </c>
      <c r="B18" s="6" t="str">
        <f aca="false">IF(COUNTIFS(Dados!$A$2:$A$1000,$B$3,Dados!$C$2:$C$1000,6)=0,"",SUM(C18:F18))</f>
        <v/>
      </c>
      <c r="C18" s="6" t="str">
        <f aca="false">IF(COUNTIFS(Dados!$A$2:$A$1000,$B$3,Dados!$C$2:$C$1000,6)=0,"",SUMIFS(Dados!$F$2:$F$1000,Dados!$D$2:$D$1000,"Conta Principal",Dados!$A$2:$A$1000,$B$3,Dados!$C$2:$C$1000,6))</f>
        <v/>
      </c>
      <c r="D18" s="6" t="str">
        <f aca="false">IF(COUNTIFS(Dados!$A$2:$A$1000,$B$3,Dados!$C$2:$C$1000,6)=0,"",SUMIFS(Dados!$F$2:$F$1000,Dados!$D$2:$D$1000,"Investimento",Dados!$A$2:$A$1000,$B$3,Dados!$C$2:$C$1000,6))</f>
        <v/>
      </c>
      <c r="E18" s="6" t="str">
        <f aca="false">IF(COUNTIFS(Dados!$A$2:$A$1000,$B$3,Dados!$C$2:$C$1000,6)=0,"",SUMIFS(Dados!$F$2:$F$1000,Dados!$D$2:$D$1000,"Numerário",Dados!$A$2:$A$1000,$B$3,Dados!$C$2:$C$1000,6))</f>
        <v/>
      </c>
      <c r="F18" s="6" t="str">
        <f aca="false">IF(COUNTIFS(Dados!$A$2:$A$1000,$B$3,Dados!$C$2:$C$1000,6)=0,"",SUMIFS(Dados!$F$2:$F$1000,Dados!$D$2:$D$1000,"Criptoativo",Dados!$A$2:$A$1000,$B$3,Dados!$C$2:$C$1000,6))</f>
        <v/>
      </c>
    </row>
    <row r="19" customFormat="false" ht="15" hidden="false" customHeight="true" outlineLevel="0" collapsed="false">
      <c r="A19" s="8" t="s">
        <v>20</v>
      </c>
      <c r="B19" s="6" t="n">
        <f aca="false">IF(COUNTIFS(Dados!$A$2:$A$1000,$B$3,Dados!$C$2:$C$1000,7)=0,"",SUM(C19:F19))</f>
        <v>39808.01</v>
      </c>
      <c r="C19" s="6" t="n">
        <f aca="false">IF(COUNTIFS(Dados!$A$2:$A$1000,$B$3,Dados!$C$2:$C$1000,7)=0,"",SUMIFS(Dados!$F$2:$F$1000,Dados!$D$2:$D$1000,"Conta Principal",Dados!$A$2:$A$1000,$B$3,Dados!$C$2:$C$1000,7))</f>
        <v>3377.66</v>
      </c>
      <c r="D19" s="6" t="n">
        <f aca="false">IF(COUNTIFS(Dados!$A$2:$A$1000,$B$3,Dados!$C$2:$C$1000,7)=0,"",SUMIFS(Dados!$F$2:$F$1000,Dados!$D$2:$D$1000,"Investimento",Dados!$A$2:$A$1000,$B$3,Dados!$C$2:$C$1000,7))</f>
        <v>36399.35</v>
      </c>
      <c r="E19" s="6" t="n">
        <f aca="false">IF(COUNTIFS(Dados!$A$2:$A$1000,$B$3,Dados!$C$2:$C$1000,7)=0,"",SUMIFS(Dados!$F$2:$F$1000,Dados!$D$2:$D$1000,"Numerário",Dados!$A$2:$A$1000,$B$3,Dados!$C$2:$C$1000,7))</f>
        <v>0</v>
      </c>
      <c r="F19" s="6" t="n">
        <f aca="false">IF(COUNTIFS(Dados!$A$2:$A$1000,$B$3,Dados!$C$2:$C$1000,7)=0,"",SUMIFS(Dados!$F$2:$F$1000,Dados!$D$2:$D$1000,"Criptoativo",Dados!$A$2:$A$1000,$B$3,Dados!$C$2:$C$1000,7))</f>
        <v>31</v>
      </c>
    </row>
    <row r="20" customFormat="false" ht="15" hidden="false" customHeight="true" outlineLevel="0" collapsed="false">
      <c r="A20" s="8" t="s">
        <v>21</v>
      </c>
      <c r="B20" s="6" t="n">
        <f aca="false">IF(COUNTIFS(Dados!$A$2:$A$1000,$B$3,Dados!$C$2:$C$1000,8)=0,"",SUM(C20:F20))</f>
        <v>38970.51</v>
      </c>
      <c r="C20" s="6" t="n">
        <f aca="false">IF(COUNTIFS(Dados!$A$2:$A$1000,$B$3,Dados!$C$2:$C$1000,8)=0,"",SUMIFS(Dados!$F$2:$F$1000,Dados!$D$2:$D$1000,"Conta Principal",Dados!$A$2:$A$1000,$B$3,Dados!$C$2:$C$1000,8))</f>
        <v>1969.12</v>
      </c>
      <c r="D20" s="6" t="n">
        <f aca="false">IF(COUNTIFS(Dados!$A$2:$A$1000,$B$3,Dados!$C$2:$C$1000,8)=0,"",SUMIFS(Dados!$F$2:$F$1000,Dados!$D$2:$D$1000,"Investimento",Dados!$A$2:$A$1000,$B$3,Dados!$C$2:$C$1000,8))</f>
        <v>36953.39</v>
      </c>
      <c r="E20" s="6" t="n">
        <f aca="false">IF(COUNTIFS(Dados!$A$2:$A$1000,$B$3,Dados!$C$2:$C$1000,8)=0,"",SUMIFS(Dados!$F$2:$F$1000,Dados!$D$2:$D$1000,"Numerário",Dados!$A$2:$A$1000,$B$3,Dados!$C$2:$C$1000,8))</f>
        <v>10</v>
      </c>
      <c r="F20" s="6" t="n">
        <f aca="false">IF(COUNTIFS(Dados!$A$2:$A$1000,$B$3,Dados!$C$2:$C$1000,8)=0,"",SUMIFS(Dados!$F$2:$F$1000,Dados!$D$2:$D$1000,"Criptoativo",Dados!$A$2:$A$1000,$B$3,Dados!$C$2:$C$1000,8))</f>
        <v>38</v>
      </c>
    </row>
    <row r="21" customFormat="false" ht="15" hidden="false" customHeight="true" outlineLevel="0" collapsed="false">
      <c r="A21" s="8" t="s">
        <v>22</v>
      </c>
      <c r="B21" s="6" t="str">
        <f aca="false">IF(COUNTIFS(Dados!$A$2:$A$1000,$B$3,Dados!$C$2:$C$1000,9)=0,"",SUM(C21:F21))</f>
        <v/>
      </c>
      <c r="C21" s="6" t="str">
        <f aca="false">IF(COUNTIFS(Dados!$A$2:$A$1000,$B$3,Dados!$C$2:$C$1000,9)=0,"",SUMIFS(Dados!$F$2:$F$1000,Dados!$D$2:$D$1000,"Conta Principal",Dados!$A$2:$A$1000,$B$3,Dados!$C$2:$C$1000,9))</f>
        <v/>
      </c>
      <c r="D21" s="6" t="str">
        <f aca="false">IF(COUNTIFS(Dados!$A$2:$A$1000,$B$3,Dados!$C$2:$C$1000,9)=0,"",SUMIFS(Dados!$F$2:$F$1000,Dados!$D$2:$D$1000,"Investimento",Dados!$A$2:$A$1000,$B$3,Dados!$C$2:$C$1000,9))</f>
        <v/>
      </c>
      <c r="E21" s="6" t="str">
        <f aca="false">IF(COUNTIFS(Dados!$A$2:$A$1000,$B$3,Dados!$C$2:$C$1000,9)=0,"",SUMIFS(Dados!$F$2:$F$1000,Dados!$D$2:$D$1000,"Numerário",Dados!$A$2:$A$1000,$B$3,Dados!$C$2:$C$1000,9))</f>
        <v/>
      </c>
      <c r="F21" s="6" t="str">
        <f aca="false">IF(COUNTIFS(Dados!$A$2:$A$1000,$B$3,Dados!$C$2:$C$1000,9)=0,"",SUMIFS(Dados!$F$2:$F$1000,Dados!$D$2:$D$1000,"Criptoativo",Dados!$A$2:$A$1000,$B$3,Dados!$C$2:$C$1000,9))</f>
        <v/>
      </c>
    </row>
    <row r="22" customFormat="false" ht="15" hidden="false" customHeight="true" outlineLevel="0" collapsed="false">
      <c r="A22" s="8" t="s">
        <v>23</v>
      </c>
      <c r="B22" s="6" t="str">
        <f aca="false">IF(COUNTIFS(Dados!$A$2:$A$1000,$B$3,Dados!$C$2:$C$1000,10)=0,"",SUM(C22:F22))</f>
        <v/>
      </c>
      <c r="C22" s="6" t="str">
        <f aca="false">IF(COUNTIFS(Dados!$A$2:$A$1000,$B$3,Dados!$C$2:$C$1000,10)=0,"",SUMIFS(Dados!$F$2:$F$1000,Dados!$D$2:$D$1000,"Conta Principal",Dados!$A$2:$A$1000,$B$3,Dados!$C$2:$C$1000,10))</f>
        <v/>
      </c>
      <c r="D22" s="6" t="str">
        <f aca="false">IF(COUNTIFS(Dados!$A$2:$A$1000,$B$3,Dados!$C$2:$C$1000,10)=0,"",SUMIFS(Dados!$F$2:$F$1000,Dados!$D$2:$D$1000,"Investimento",Dados!$A$2:$A$1000,$B$3,Dados!$C$2:$C$1000,10))</f>
        <v/>
      </c>
      <c r="E22" s="6" t="str">
        <f aca="false">IF(COUNTIFS(Dados!$A$2:$A$1000,$B$3,Dados!$C$2:$C$1000,10)=0,"",SUMIFS(Dados!$F$2:$F$1000,Dados!$D$2:$D$1000,"Numerário",Dados!$A$2:$A$1000,$B$3,Dados!$C$2:$C$1000,10))</f>
        <v/>
      </c>
      <c r="F22" s="6" t="str">
        <f aca="false">IF(COUNTIFS(Dados!$A$2:$A$1000,$B$3,Dados!$C$2:$C$1000,10)=0,"",SUMIFS(Dados!$F$2:$F$1000,Dados!$D$2:$D$1000,"Criptoativo",Dados!$A$2:$A$1000,$B$3,Dados!$C$2:$C$1000,10))</f>
        <v/>
      </c>
    </row>
    <row r="23" customFormat="false" ht="15" hidden="false" customHeight="true" outlineLevel="0" collapsed="false">
      <c r="A23" s="8" t="s">
        <v>24</v>
      </c>
      <c r="B23" s="6" t="str">
        <f aca="false">IF(COUNTIFS(Dados!$A$2:$A$1000,$B$3,Dados!$C$2:$C$1000,11)=0,"",SUM(C23:F23))</f>
        <v/>
      </c>
      <c r="C23" s="6" t="str">
        <f aca="false">IF(COUNTIFS(Dados!$A$2:$A$1000,$B$3,Dados!$C$2:$C$1000,11)=0,"",SUMIFS(Dados!$F$2:$F$1000,Dados!$D$2:$D$1000,"Conta Principal",Dados!$A$2:$A$1000,$B$3,Dados!$C$2:$C$1000,11))</f>
        <v/>
      </c>
      <c r="D23" s="6" t="str">
        <f aca="false">IF(COUNTIFS(Dados!$A$2:$A$1000,$B$3,Dados!$C$2:$C$1000,11)=0,"",SUMIFS(Dados!$F$2:$F$1000,Dados!$D$2:$D$1000,"Investimento",Dados!$A$2:$A$1000,$B$3,Dados!$C$2:$C$1000,11))</f>
        <v/>
      </c>
      <c r="E23" s="6" t="str">
        <f aca="false">IF(COUNTIFS(Dados!$A$2:$A$1000,$B$3,Dados!$C$2:$C$1000,11)=0,"",SUMIFS(Dados!$F$2:$F$1000,Dados!$D$2:$D$1000,"Numerário",Dados!$A$2:$A$1000,$B$3,Dados!$C$2:$C$1000,11))</f>
        <v/>
      </c>
      <c r="F23" s="6" t="str">
        <f aca="false">IF(COUNTIFS(Dados!$A$2:$A$1000,$B$3,Dados!$C$2:$C$1000,11)=0,"",SUMIFS(Dados!$F$2:$F$1000,Dados!$D$2:$D$1000,"Criptoativo",Dados!$A$2:$A$1000,$B$3,Dados!$C$2:$C$1000,11))</f>
        <v/>
      </c>
    </row>
    <row r="24" customFormat="false" ht="15" hidden="false" customHeight="true" outlineLevel="0" collapsed="false">
      <c r="A24" s="8" t="s">
        <v>25</v>
      </c>
      <c r="B24" s="6" t="str">
        <f aca="false">IF(COUNTIFS(Dados!$A$2:$A$1000,$B$3,Dados!$C$2:$C$1000,12)=0,"",SUM(C24:F24))</f>
        <v/>
      </c>
      <c r="C24" s="6" t="str">
        <f aca="false">IF(COUNTIFS(Dados!$A$2:$A$1000,$B$3,Dados!$C$2:$C$1000,12)=0,"",SUMIFS(Dados!$F$2:$F$1000,Dados!$D$2:$D$1000,"Conta Principal",Dados!$A$2:$A$1000,$B$3,Dados!$C$2:$C$1000,12))</f>
        <v/>
      </c>
      <c r="D24" s="6" t="str">
        <f aca="false">IF(COUNTIFS(Dados!$A$2:$A$1000,$B$3,Dados!$C$2:$C$1000,12)=0,"",SUMIFS(Dados!$F$2:$F$1000,Dados!$D$2:$D$1000,"Investimento",Dados!$A$2:$A$1000,$B$3,Dados!$C$2:$C$1000,12))</f>
        <v/>
      </c>
      <c r="E24" s="6" t="str">
        <f aca="false">IF(COUNTIFS(Dados!$A$2:$A$1000,$B$3,Dados!$C$2:$C$1000,12)=0,"",SUMIFS(Dados!$F$2:$F$1000,Dados!$D$2:$D$1000,"Numerário",Dados!$A$2:$A$1000,$B$3,Dados!$C$2:$C$1000,12))</f>
        <v/>
      </c>
      <c r="F24" s="6" t="str">
        <f aca="false">IF(COUNTIFS(Dados!$A$2:$A$1000,$B$3,Dados!$C$2:$C$1000,12)=0,"",SUMIFS(Dados!$F$2:$F$1000,Dados!$D$2:$D$1000,"Criptoativo",Dados!$A$2:$A$1000,$B$3,Dados!$C$2:$C$1000,12))</f>
        <v/>
      </c>
    </row>
    <row r="27" customFormat="false" ht="15" hidden="false" customHeight="true" outlineLevel="0" collapsed="false">
      <c r="A27" s="5" t="s">
        <v>26</v>
      </c>
    </row>
    <row r="28" customFormat="false" ht="15" hidden="false" customHeight="true" outlineLevel="0" collapsed="false">
      <c r="A28" s="9" t="s">
        <v>27</v>
      </c>
      <c r="B28" s="7" t="s">
        <v>28</v>
      </c>
      <c r="C28" s="7" t="s">
        <v>29</v>
      </c>
      <c r="D28" s="7" t="s">
        <v>30</v>
      </c>
      <c r="E28" s="7" t="s">
        <v>31</v>
      </c>
      <c r="F28" s="7" t="s">
        <v>32</v>
      </c>
      <c r="G28" s="7" t="s">
        <v>33</v>
      </c>
      <c r="H28" s="7" t="s">
        <v>34</v>
      </c>
      <c r="I28" s="7" t="s">
        <v>35</v>
      </c>
      <c r="J28" s="7" t="s">
        <v>36</v>
      </c>
      <c r="K28" s="7" t="s">
        <v>37</v>
      </c>
      <c r="L28" s="7" t="s">
        <v>38</v>
      </c>
      <c r="M28" s="7" t="s">
        <v>39</v>
      </c>
    </row>
    <row r="29" customFormat="false" ht="15" hidden="false" customHeight="true" outlineLevel="0" collapsed="false">
      <c r="A29" s="8" t="s">
        <v>40</v>
      </c>
      <c r="B29" s="6" t="n">
        <f aca="false">IF(COUNTIFS(Dados!$A$2:$A$1000,$B$3,Dados!$C$2:$C$1000,1,Dados!$E$2:$E$1000,"Activobank")=0,"",SUMIFS(Dados!$F$2:$F$1000,Dados!$D$2:$D$1000,"Investimento",Dados!$E$2:$E$1000,"Activobank",Dados!$A$2:$A$1000,$B$3,Dados!$C$2:$C$1000,1))</f>
        <v>4000</v>
      </c>
      <c r="C29" s="6" t="n">
        <f aca="false">IF(COUNTIFS(Dados!$A$2:$A$1000,$B$3,Dados!$C$2:$C$1000,2,Dados!$E$2:$E$1000,"Activobank")=0,"",SUMIFS(Dados!$F$2:$F$1000,Dados!$D$2:$D$1000,"Investimento",Dados!$E$2:$E$1000,"Activobank",Dados!$A$2:$A$1000,$B$3,Dados!$C$2:$C$1000,2))</f>
        <v>267.71</v>
      </c>
      <c r="D29" s="6" t="n">
        <f aca="false">IF(COUNTIFS(Dados!$A$2:$A$1000,$B$3,Dados!$C$2:$C$1000,3,Dados!$E$2:$E$1000,"Activobank")=0,"",SUMIFS(Dados!$F$2:$F$1000,Dados!$D$2:$D$1000,"Investimento",Dados!$E$2:$E$1000,"Activobank",Dados!$A$2:$A$1000,$B$3,Dados!$C$2:$C$1000,3))</f>
        <v>100</v>
      </c>
      <c r="E29" s="6" t="n">
        <f aca="false">IF(COUNTIFS(Dados!$A$2:$A$1000,$B$3,Dados!$C$2:$C$1000,4,Dados!$E$2:$E$1000,"Activobank")=0,"",SUMIFS(Dados!$F$2:$F$1000,Dados!$D$2:$D$1000,"Investimento",Dados!$E$2:$E$1000,"Activobank",Dados!$A$2:$A$1000,$B$3,Dados!$C$2:$C$1000,4))</f>
        <v>100</v>
      </c>
      <c r="F29" s="6" t="n">
        <f aca="false">IF(COUNTIFS(Dados!$A$2:$A$1000,$B$3,Dados!$C$2:$C$1000,5,Dados!$E$2:$E$1000,"Activobank")=0,"",SUMIFS(Dados!$F$2:$F$1000,Dados!$D$2:$D$1000,"Investimento",Dados!$E$2:$E$1000,"Activobank",Dados!$A$2:$A$1000,$B$3,Dados!$C$2:$C$1000,5))</f>
        <v>100</v>
      </c>
      <c r="G29" s="6" t="str">
        <f aca="false">IF(COUNTIFS(Dados!$A$2:$A$1000,$B$3,Dados!$C$2:$C$1000,6,Dados!$E$2:$E$1000,"Activobank")=0,"",SUMIFS(Dados!$F$2:$F$1000,Dados!$D$2:$D$1000,"Investimento",Dados!$E$2:$E$1000,"Activobank",Dados!$A$2:$A$1000,$B$3,Dados!$C$2:$C$1000,6))</f>
        <v/>
      </c>
      <c r="H29" s="6" t="n">
        <f aca="false">IF(COUNTIFS(Dados!$A$2:$A$1000,$B$3,Dados!$C$2:$C$1000,7,Dados!$E$2:$E$1000,"Activobank")=0,"",SUMIFS(Dados!$F$2:$F$1000,Dados!$D$2:$D$1000,"Investimento",Dados!$E$2:$E$1000,"Activobank",Dados!$A$2:$A$1000,$B$3,Dados!$C$2:$C$1000,7))</f>
        <v>100</v>
      </c>
      <c r="I29" s="6" t="n">
        <f aca="false">IF(COUNTIFS(Dados!$A$2:$A$1000,$B$3,Dados!$C$2:$C$1000,8,Dados!$E$2:$E$1000,"Activobank")=0,"",SUMIFS(Dados!$F$2:$F$1000,Dados!$D$2:$D$1000,"Investimento",Dados!$E$2:$E$1000,"Activobank",Dados!$A$2:$A$1000,$B$3,Dados!$C$2:$C$1000,8))</f>
        <v>100</v>
      </c>
      <c r="J29" s="6" t="str">
        <f aca="false">IF(COUNTIFS(Dados!$A$2:$A$1000,$B$3,Dados!$C$2:$C$1000,9,Dados!$E$2:$E$1000,"Activobank")=0,"",SUMIFS(Dados!$F$2:$F$1000,Dados!$D$2:$D$1000,"Investimento",Dados!$E$2:$E$1000,"Activobank",Dados!$A$2:$A$1000,$B$3,Dados!$C$2:$C$1000,9))</f>
        <v/>
      </c>
      <c r="K29" s="6" t="str">
        <f aca="false">IF(COUNTIFS(Dados!$A$2:$A$1000,$B$3,Dados!$C$2:$C$1000,10,Dados!$E$2:$E$1000,"Activobank")=0,"",SUMIFS(Dados!$F$2:$F$1000,Dados!$D$2:$D$1000,"Investimento",Dados!$E$2:$E$1000,"Activobank",Dados!$A$2:$A$1000,$B$3,Dados!$C$2:$C$1000,10))</f>
        <v/>
      </c>
      <c r="L29" s="6" t="str">
        <f aca="false">IF(COUNTIFS(Dados!$A$2:$A$1000,$B$3,Dados!$C$2:$C$1000,11,Dados!$E$2:$E$1000,"Activobank")=0,"",SUMIFS(Dados!$F$2:$F$1000,Dados!$D$2:$D$1000,"Investimento",Dados!$E$2:$E$1000,"Activobank",Dados!$A$2:$A$1000,$B$3,Dados!$C$2:$C$1000,11))</f>
        <v/>
      </c>
      <c r="M29" s="6" t="str">
        <f aca="false">IF(COUNTIFS(Dados!$A$2:$A$1000,$B$3,Dados!$C$2:$C$1000,12,Dados!$E$2:$E$1000,"Activobank")=0,"",SUMIFS(Dados!$F$2:$F$1000,Dados!$D$2:$D$1000,"Investimento",Dados!$E$2:$E$1000,"Activobank",Dados!$A$2:$A$1000,$B$3,Dados!$C$2:$C$1000,12))</f>
        <v/>
      </c>
    </row>
    <row r="30" customFormat="false" ht="15" hidden="false" customHeight="true" outlineLevel="0" collapsed="false">
      <c r="A30" s="8" t="s">
        <v>41</v>
      </c>
      <c r="B30" s="6" t="n">
        <f aca="false">IF(COUNTIFS(Dados!$A$2:$A$1000,$B$3,Dados!$C$2:$C$1000,1,Dados!$E$2:$E$1000,"Bondora Go &amp; Grow")=0,"",SUMIFS(Dados!$F$2:$F$1000,Dados!$D$2:$D$1000,"Investimento",Dados!$E$2:$E$1000,"Bondora Go &amp; Grow",Dados!$A$2:$A$1000,$B$3,Dados!$C$2:$C$1000,1))</f>
        <v>6251.29</v>
      </c>
      <c r="C30" s="6" t="n">
        <f aca="false">IF(COUNTIFS(Dados!$A$2:$A$1000,$B$3,Dados!$C$2:$C$1000,2,Dados!$E$2:$E$1000,"Bondora Go &amp; Grow")=0,"",SUMIFS(Dados!$F$2:$F$1000,Dados!$D$2:$D$1000,"Investimento",Dados!$E$2:$E$1000,"Bondora Go &amp; Grow",Dados!$A$2:$A$1000,$B$3,Dados!$C$2:$C$1000,2))</f>
        <v>6309.34</v>
      </c>
      <c r="D30" s="6" t="n">
        <f aca="false">IF(COUNTIFS(Dados!$A$2:$A$1000,$B$3,Dados!$C$2:$C$1000,3,Dados!$E$2:$E$1000,"Bondora Go &amp; Grow")=0,"",SUMIFS(Dados!$F$2:$F$1000,Dados!$D$2:$D$1000,"Investimento",Dados!$E$2:$E$1000,"Bondora Go &amp; Grow",Dados!$A$2:$A$1000,$B$3,Dados!$C$2:$C$1000,3))</f>
        <v>6386.73</v>
      </c>
      <c r="E30" s="6" t="n">
        <f aca="false">IF(COUNTIFS(Dados!$A$2:$A$1000,$B$3,Dados!$C$2:$C$1000,4,Dados!$E$2:$E$1000,"Bondora Go &amp; Grow")=0,"",SUMIFS(Dados!$F$2:$F$1000,Dados!$D$2:$D$1000,"Investimento",Dados!$E$2:$E$1000,"Bondora Go &amp; Grow",Dados!$A$2:$A$1000,$B$3,Dados!$C$2:$C$1000,4))</f>
        <v>6479.54</v>
      </c>
      <c r="F30" s="6" t="n">
        <f aca="false">IF(COUNTIFS(Dados!$A$2:$A$1000,$B$3,Dados!$C$2:$C$1000,5,Dados!$E$2:$E$1000,"Bondora Go &amp; Grow")=0,"",SUMIFS(Dados!$F$2:$F$1000,Dados!$D$2:$D$1000,"Investimento",Dados!$E$2:$E$1000,"Bondora Go &amp; Grow",Dados!$A$2:$A$1000,$B$3,Dados!$C$2:$C$1000,5))</f>
        <v>6611.92</v>
      </c>
      <c r="G30" s="6" t="str">
        <f aca="false">IF(COUNTIFS(Dados!$A$2:$A$1000,$B$3,Dados!$C$2:$C$1000,6,Dados!$E$2:$E$1000,"Bondora Go &amp; Grow")=0,"",SUMIFS(Dados!$F$2:$F$1000,Dados!$D$2:$D$1000,"Investimento",Dados!$E$2:$E$1000,"Bondora Go &amp; Grow",Dados!$A$2:$A$1000,$B$3,Dados!$C$2:$C$1000,6))</f>
        <v/>
      </c>
      <c r="H30" s="6" t="n">
        <f aca="false">IF(COUNTIFS(Dados!$A$2:$A$1000,$B$3,Dados!$C$2:$C$1000,7,Dados!$E$2:$E$1000,"Bondora Go &amp; Grow")=0,"",SUMIFS(Dados!$F$2:$F$1000,Dados!$D$2:$D$1000,"Investimento",Dados!$E$2:$E$1000,"Bondora Go &amp; Grow",Dados!$A$2:$A$1000,$B$3,Dados!$C$2:$C$1000,7))</f>
        <v>6889.6</v>
      </c>
      <c r="I30" s="6" t="n">
        <f aca="false">IF(COUNTIFS(Dados!$A$2:$A$1000,$B$3,Dados!$C$2:$C$1000,8,Dados!$E$2:$E$1000,"Bondora Go &amp; Grow")=0,"",SUMIFS(Dados!$F$2:$F$1000,Dados!$D$2:$D$1000,"Investimento",Dados!$E$2:$E$1000,"Bondora Go &amp; Grow",Dados!$A$2:$A$1000,$B$3,Dados!$C$2:$C$1000,8))</f>
        <v>7089.2</v>
      </c>
      <c r="J30" s="6" t="str">
        <f aca="false">IF(COUNTIFS(Dados!$A$2:$A$1000,$B$3,Dados!$C$2:$C$1000,9,Dados!$E$2:$E$1000,"Bondora Go &amp; Grow")=0,"",SUMIFS(Dados!$F$2:$F$1000,Dados!$D$2:$D$1000,"Investimento",Dados!$E$2:$E$1000,"Bondora Go &amp; Grow",Dados!$A$2:$A$1000,$B$3,Dados!$C$2:$C$1000,9))</f>
        <v/>
      </c>
      <c r="K30" s="6" t="str">
        <f aca="false">IF(COUNTIFS(Dados!$A$2:$A$1000,$B$3,Dados!$C$2:$C$1000,10,Dados!$E$2:$E$1000,"Bondora Go &amp; Grow")=0,"",SUMIFS(Dados!$F$2:$F$1000,Dados!$D$2:$D$1000,"Investimento",Dados!$E$2:$E$1000,"Bondora Go &amp; Grow",Dados!$A$2:$A$1000,$B$3,Dados!$C$2:$C$1000,10))</f>
        <v/>
      </c>
      <c r="L30" s="6" t="str">
        <f aca="false">IF(COUNTIFS(Dados!$A$2:$A$1000,$B$3,Dados!$C$2:$C$1000,11,Dados!$E$2:$E$1000,"Bondora Go &amp; Grow")=0,"",SUMIFS(Dados!$F$2:$F$1000,Dados!$D$2:$D$1000,"Investimento",Dados!$E$2:$E$1000,"Bondora Go &amp; Grow",Dados!$A$2:$A$1000,$B$3,Dados!$C$2:$C$1000,11))</f>
        <v/>
      </c>
      <c r="M30" s="6" t="str">
        <f aca="false">IF(COUNTIFS(Dados!$A$2:$A$1000,$B$3,Dados!$C$2:$C$1000,12,Dados!$E$2:$E$1000,"Bondora Go &amp; Grow")=0,"",SUMIFS(Dados!$F$2:$F$1000,Dados!$D$2:$D$1000,"Investimento",Dados!$E$2:$E$1000,"Bondora Go &amp; Grow",Dados!$A$2:$A$1000,$B$3,Dados!$C$2:$C$1000,12))</f>
        <v/>
      </c>
    </row>
    <row r="31" customFormat="false" ht="15" hidden="false" customHeight="true" outlineLevel="0" collapsed="false">
      <c r="A31" s="8" t="s">
        <v>42</v>
      </c>
      <c r="B31" s="6" t="n">
        <f aca="false">IF(COUNTIFS(Dados!$A$2:$A$1000,$B$3,Dados!$C$2:$C$1000,1,Dados!$E$2:$E$1000,"Degiro")=0,"",SUMIFS(Dados!$F$2:$F$1000,Dados!$D$2:$D$1000,"Investimento",Dados!$E$2:$E$1000,"Degiro",Dados!$A$2:$A$1000,$B$3,Dados!$C$2:$C$1000,1))</f>
        <v>2010.83</v>
      </c>
      <c r="C31" s="6" t="n">
        <f aca="false">IF(COUNTIFS(Dados!$A$2:$A$1000,$B$3,Dados!$C$2:$C$1000,2,Dados!$E$2:$E$1000,"Degiro")=0,"",SUMIFS(Dados!$F$2:$F$1000,Dados!$D$2:$D$1000,"Investimento",Dados!$E$2:$E$1000,"Degiro",Dados!$A$2:$A$1000,$B$3,Dados!$C$2:$C$1000,2))</f>
        <v>2046.34</v>
      </c>
      <c r="D31" s="6" t="n">
        <f aca="false">IF(COUNTIFS(Dados!$A$2:$A$1000,$B$3,Dados!$C$2:$C$1000,3,Dados!$E$2:$E$1000,"Degiro")=0,"",SUMIFS(Dados!$F$2:$F$1000,Dados!$D$2:$D$1000,"Investimento",Dados!$E$2:$E$1000,"Degiro",Dados!$A$2:$A$1000,$B$3,Dados!$C$2:$C$1000,3))</f>
        <v>1971.27</v>
      </c>
      <c r="E31" s="6" t="n">
        <f aca="false">IF(COUNTIFS(Dados!$A$2:$A$1000,$B$3,Dados!$C$2:$C$1000,4,Dados!$E$2:$E$1000,"Degiro")=0,"",SUMIFS(Dados!$F$2:$F$1000,Dados!$D$2:$D$1000,"Investimento",Dados!$E$2:$E$1000,"Degiro",Dados!$A$2:$A$1000,$B$3,Dados!$C$2:$C$1000,4))</f>
        <v>2189.55</v>
      </c>
      <c r="F31" s="6" t="n">
        <f aca="false">IF(COUNTIFS(Dados!$A$2:$A$1000,$B$3,Dados!$C$2:$C$1000,5,Dados!$E$2:$E$1000,"Degiro")=0,"",SUMIFS(Dados!$F$2:$F$1000,Dados!$D$2:$D$1000,"Investimento",Dados!$E$2:$E$1000,"Degiro",Dados!$A$2:$A$1000,$B$3,Dados!$C$2:$C$1000,5))</f>
        <v>2274</v>
      </c>
      <c r="G31" s="6" t="str">
        <f aca="false">IF(COUNTIFS(Dados!$A$2:$A$1000,$B$3,Dados!$C$2:$C$1000,6,Dados!$E$2:$E$1000,"Degiro")=0,"",SUMIFS(Dados!$F$2:$F$1000,Dados!$D$2:$D$1000,"Investimento",Dados!$E$2:$E$1000,"Degiro",Dados!$A$2:$A$1000,$B$3,Dados!$C$2:$C$1000,6))</f>
        <v/>
      </c>
      <c r="H31" s="6" t="n">
        <f aca="false">IF(COUNTIFS(Dados!$A$2:$A$1000,$B$3,Dados!$C$2:$C$1000,7,Dados!$E$2:$E$1000,"Degiro")=0,"",SUMIFS(Dados!$F$2:$F$1000,Dados!$D$2:$D$1000,"Investimento",Dados!$E$2:$E$1000,"Degiro",Dados!$A$2:$A$1000,$B$3,Dados!$C$2:$C$1000,7))</f>
        <v>2334.07</v>
      </c>
      <c r="I31" s="6" t="n">
        <f aca="false">IF(COUNTIFS(Dados!$A$2:$A$1000,$B$3,Dados!$C$2:$C$1000,8,Dados!$E$2:$E$1000,"Degiro")=0,"",SUMIFS(Dados!$F$2:$F$1000,Dados!$D$2:$D$1000,"Investimento",Dados!$E$2:$E$1000,"Degiro",Dados!$A$2:$A$1000,$B$3,Dados!$C$2:$C$1000,8))</f>
        <v>2430.88</v>
      </c>
      <c r="J31" s="6" t="str">
        <f aca="false">IF(COUNTIFS(Dados!$A$2:$A$1000,$B$3,Dados!$C$2:$C$1000,9,Dados!$E$2:$E$1000,"Degiro")=0,"",SUMIFS(Dados!$F$2:$F$1000,Dados!$D$2:$D$1000,"Investimento",Dados!$E$2:$E$1000,"Degiro",Dados!$A$2:$A$1000,$B$3,Dados!$C$2:$C$1000,9))</f>
        <v/>
      </c>
      <c r="K31" s="6" t="str">
        <f aca="false">IF(COUNTIFS(Dados!$A$2:$A$1000,$B$3,Dados!$C$2:$C$1000,10,Dados!$E$2:$E$1000,"Degiro")=0,"",SUMIFS(Dados!$F$2:$F$1000,Dados!$D$2:$D$1000,"Investimento",Dados!$E$2:$E$1000,"Degiro",Dados!$A$2:$A$1000,$B$3,Dados!$C$2:$C$1000,10))</f>
        <v/>
      </c>
      <c r="L31" s="6" t="str">
        <f aca="false">IF(COUNTIFS(Dados!$A$2:$A$1000,$B$3,Dados!$C$2:$C$1000,11,Dados!$E$2:$E$1000,"Degiro")=0,"",SUMIFS(Dados!$F$2:$F$1000,Dados!$D$2:$D$1000,"Investimento",Dados!$E$2:$E$1000,"Degiro",Dados!$A$2:$A$1000,$B$3,Dados!$C$2:$C$1000,11))</f>
        <v/>
      </c>
      <c r="M31" s="6" t="str">
        <f aca="false">IF(COUNTIFS(Dados!$A$2:$A$1000,$B$3,Dados!$C$2:$C$1000,12,Dados!$E$2:$E$1000,"Degiro")=0,"",SUMIFS(Dados!$F$2:$F$1000,Dados!$D$2:$D$1000,"Investimento",Dados!$E$2:$E$1000,"Degiro",Dados!$A$2:$A$1000,$B$3,Dados!$C$2:$C$1000,12))</f>
        <v/>
      </c>
    </row>
    <row r="32" customFormat="false" ht="15" hidden="false" customHeight="true" outlineLevel="0" collapsed="false">
      <c r="A32" s="8" t="s">
        <v>43</v>
      </c>
      <c r="B32" s="6" t="n">
        <f aca="false">IF(COUNTIFS(Dados!$A$2:$A$1000,$B$3,Dados!$C$2:$C$1000,1,Dados!$E$2:$E$1000,"Golden SGF")=0,"",SUMIFS(Dados!$F$2:$F$1000,Dados!$D$2:$D$1000,"Investimento",Dados!$E$2:$E$1000,"Golden SGF",Dados!$A$2:$A$1000,$B$3,Dados!$C$2:$C$1000,1))</f>
        <v>2503.69</v>
      </c>
      <c r="C32" s="6" t="n">
        <f aca="false">IF(COUNTIFS(Dados!$A$2:$A$1000,$B$3,Dados!$C$2:$C$1000,2,Dados!$E$2:$E$1000,"Golden SGF")=0,"",SUMIFS(Dados!$F$2:$F$1000,Dados!$D$2:$D$1000,"Investimento",Dados!$E$2:$E$1000,"Golden SGF",Dados!$A$2:$A$1000,$B$3,Dados!$C$2:$C$1000,2))</f>
        <v>2557.77</v>
      </c>
      <c r="D32" s="6" t="n">
        <f aca="false">IF(COUNTIFS(Dados!$A$2:$A$1000,$B$3,Dados!$C$2:$C$1000,3,Dados!$E$2:$E$1000,"Golden SGF")=0,"",SUMIFS(Dados!$F$2:$F$1000,Dados!$D$2:$D$1000,"Investimento",Dados!$E$2:$E$1000,"Golden SGF",Dados!$A$2:$A$1000,$B$3,Dados!$C$2:$C$1000,3))</f>
        <v>2504.71</v>
      </c>
      <c r="E32" s="6" t="n">
        <f aca="false">IF(COUNTIFS(Dados!$A$2:$A$1000,$B$3,Dados!$C$2:$C$1000,4,Dados!$E$2:$E$1000,"Golden SGF")=0,"",SUMIFS(Dados!$F$2:$F$1000,Dados!$D$2:$D$1000,"Investimento",Dados!$E$2:$E$1000,"Golden SGF",Dados!$A$2:$A$1000,$B$3,Dados!$C$2:$C$1000,4))</f>
        <v>2659.51</v>
      </c>
      <c r="F32" s="6" t="n">
        <f aca="false">IF(COUNTIFS(Dados!$A$2:$A$1000,$B$3,Dados!$C$2:$C$1000,5,Dados!$E$2:$E$1000,"Golden SGF")=0,"",SUMIFS(Dados!$F$2:$F$1000,Dados!$D$2:$D$1000,"Investimento",Dados!$E$2:$E$1000,"Golden SGF",Dados!$A$2:$A$1000,$B$3,Dados!$C$2:$C$1000,5))</f>
        <v>2778.22</v>
      </c>
      <c r="G32" s="6" t="str">
        <f aca="false">IF(COUNTIFS(Dados!$A$2:$A$1000,$B$3,Dados!$C$2:$C$1000,6,Dados!$E$2:$E$1000,"Golden SGF")=0,"",SUMIFS(Dados!$F$2:$F$1000,Dados!$D$2:$D$1000,"Investimento",Dados!$E$2:$E$1000,"Golden SGF",Dados!$A$2:$A$1000,$B$3,Dados!$C$2:$C$1000,6))</f>
        <v/>
      </c>
      <c r="H32" s="6" t="n">
        <f aca="false">IF(COUNTIFS(Dados!$A$2:$A$1000,$B$3,Dados!$C$2:$C$1000,7,Dados!$E$2:$E$1000,"Golden SGF")=0,"",SUMIFS(Dados!$F$2:$F$1000,Dados!$D$2:$D$1000,"Investimento",Dados!$E$2:$E$1000,"Golden SGF",Dados!$A$2:$A$1000,$B$3,Dados!$C$2:$C$1000,7))</f>
        <v>2884.95</v>
      </c>
      <c r="I32" s="6" t="n">
        <f aca="false">IF(COUNTIFS(Dados!$A$2:$A$1000,$B$3,Dados!$C$2:$C$1000,8,Dados!$E$2:$E$1000,"Golden SGF")=0,"",SUMIFS(Dados!$F$2:$F$1000,Dados!$D$2:$D$1000,"Investimento",Dados!$E$2:$E$1000,"Golden SGF",Dados!$A$2:$A$1000,$B$3,Dados!$C$2:$C$1000,8))</f>
        <v>2991.1</v>
      </c>
      <c r="J32" s="6" t="str">
        <f aca="false">IF(COUNTIFS(Dados!$A$2:$A$1000,$B$3,Dados!$C$2:$C$1000,9,Dados!$E$2:$E$1000,"Golden SGF")=0,"",SUMIFS(Dados!$F$2:$F$1000,Dados!$D$2:$D$1000,"Investimento",Dados!$E$2:$E$1000,"Golden SGF",Dados!$A$2:$A$1000,$B$3,Dados!$C$2:$C$1000,9))</f>
        <v/>
      </c>
      <c r="K32" s="6" t="str">
        <f aca="false">IF(COUNTIFS(Dados!$A$2:$A$1000,$B$3,Dados!$C$2:$C$1000,10,Dados!$E$2:$E$1000,"Golden SGF")=0,"",SUMIFS(Dados!$F$2:$F$1000,Dados!$D$2:$D$1000,"Investimento",Dados!$E$2:$E$1000,"Golden SGF",Dados!$A$2:$A$1000,$B$3,Dados!$C$2:$C$1000,10))</f>
        <v/>
      </c>
      <c r="L32" s="6" t="str">
        <f aca="false">IF(COUNTIFS(Dados!$A$2:$A$1000,$B$3,Dados!$C$2:$C$1000,11,Dados!$E$2:$E$1000,"Golden SGF")=0,"",SUMIFS(Dados!$F$2:$F$1000,Dados!$D$2:$D$1000,"Investimento",Dados!$E$2:$E$1000,"Golden SGF",Dados!$A$2:$A$1000,$B$3,Dados!$C$2:$C$1000,11))</f>
        <v/>
      </c>
      <c r="M32" s="6" t="str">
        <f aca="false">IF(COUNTIFS(Dados!$A$2:$A$1000,$B$3,Dados!$C$2:$C$1000,12,Dados!$E$2:$E$1000,"Golden SGF")=0,"",SUMIFS(Dados!$F$2:$F$1000,Dados!$D$2:$D$1000,"Investimento",Dados!$E$2:$E$1000,"Golden SGF",Dados!$A$2:$A$1000,$B$3,Dados!$C$2:$C$1000,12))</f>
        <v/>
      </c>
    </row>
    <row r="33" customFormat="false" ht="15" hidden="false" customHeight="true" outlineLevel="0" collapsed="false">
      <c r="A33" s="8" t="s">
        <v>44</v>
      </c>
      <c r="B33" s="6" t="n">
        <f aca="false">IF(COUNTIFS(Dados!$A$2:$A$1000,$B$3,Dados!$C$2:$C$1000,1,Dados!$E$2:$E$1000,"IGCP")=0,"",SUMIFS(Dados!$F$2:$F$1000,Dados!$D$2:$D$1000,"Investimento",Dados!$E$2:$E$1000,"IGCP",Dados!$A$2:$A$1000,$B$3,Dados!$C$2:$C$1000,1))</f>
        <v>2707.43</v>
      </c>
      <c r="C33" s="6" t="n">
        <f aca="false">IF(COUNTIFS(Dados!$A$2:$A$1000,$B$3,Dados!$C$2:$C$1000,2,Dados!$E$2:$E$1000,"IGCP")=0,"",SUMIFS(Dados!$F$2:$F$1000,Dados!$D$2:$D$1000,"Investimento",Dados!$E$2:$E$1000,"IGCP",Dados!$A$2:$A$1000,$B$3,Dados!$C$2:$C$1000,2))</f>
        <v>2707.43</v>
      </c>
      <c r="D33" s="6" t="n">
        <f aca="false">IF(COUNTIFS(Dados!$A$2:$A$1000,$B$3,Dados!$C$2:$C$1000,3,Dados!$E$2:$E$1000,"IGCP")=0,"",SUMIFS(Dados!$F$2:$F$1000,Dados!$D$2:$D$1000,"Investimento",Dados!$E$2:$E$1000,"IGCP",Dados!$A$2:$A$1000,$B$3,Dados!$C$2:$C$1000,3))</f>
        <v>2707.43</v>
      </c>
      <c r="E33" s="6" t="n">
        <f aca="false">IF(COUNTIFS(Dados!$A$2:$A$1000,$B$3,Dados!$C$2:$C$1000,4,Dados!$E$2:$E$1000,"IGCP")=0,"",SUMIFS(Dados!$F$2:$F$1000,Dados!$D$2:$D$1000,"Investimento",Dados!$E$2:$E$1000,"IGCP",Dados!$A$2:$A$1000,$B$3,Dados!$C$2:$C$1000,4))</f>
        <v>2724.75</v>
      </c>
      <c r="F33" s="6" t="n">
        <f aca="false">IF(COUNTIFS(Dados!$A$2:$A$1000,$B$3,Dados!$C$2:$C$1000,5,Dados!$E$2:$E$1000,"IGCP")=0,"",SUMIFS(Dados!$F$2:$F$1000,Dados!$D$2:$D$1000,"Investimento",Dados!$E$2:$E$1000,"IGCP",Dados!$A$2:$A$1000,$B$3,Dados!$C$2:$C$1000,5))</f>
        <v>2724.75</v>
      </c>
      <c r="G33" s="6" t="str">
        <f aca="false">IF(COUNTIFS(Dados!$A$2:$A$1000,$B$3,Dados!$C$2:$C$1000,6,Dados!$E$2:$E$1000,"IGCP")=0,"",SUMIFS(Dados!$F$2:$F$1000,Dados!$D$2:$D$1000,"Investimento",Dados!$E$2:$E$1000,"IGCP",Dados!$A$2:$A$1000,$B$3,Dados!$C$2:$C$1000,6))</f>
        <v/>
      </c>
      <c r="H33" s="6" t="n">
        <f aca="false">IF(COUNTIFS(Dados!$A$2:$A$1000,$B$3,Dados!$C$2:$C$1000,7,Dados!$E$2:$E$1000,"IGCP")=0,"",SUMIFS(Dados!$F$2:$F$1000,Dados!$D$2:$D$1000,"Investimento",Dados!$E$2:$E$1000,"IGCP",Dados!$A$2:$A$1000,$B$3,Dados!$C$2:$C$1000,7))</f>
        <v>2741.98</v>
      </c>
      <c r="I33" s="6" t="n">
        <f aca="false">IF(COUNTIFS(Dados!$A$2:$A$1000,$B$3,Dados!$C$2:$C$1000,8,Dados!$E$2:$E$1000,"IGCP")=0,"",SUMIFS(Dados!$F$2:$F$1000,Dados!$D$2:$D$1000,"Investimento",Dados!$E$2:$E$1000,"IGCP",Dados!$A$2:$A$1000,$B$3,Dados!$C$2:$C$1000,8))</f>
        <v>2741.98</v>
      </c>
      <c r="J33" s="6" t="str">
        <f aca="false">IF(COUNTIFS(Dados!$A$2:$A$1000,$B$3,Dados!$C$2:$C$1000,9,Dados!$E$2:$E$1000,"IGCP")=0,"",SUMIFS(Dados!$F$2:$F$1000,Dados!$D$2:$D$1000,"Investimento",Dados!$E$2:$E$1000,"IGCP",Dados!$A$2:$A$1000,$B$3,Dados!$C$2:$C$1000,9))</f>
        <v/>
      </c>
      <c r="K33" s="6" t="str">
        <f aca="false">IF(COUNTIFS(Dados!$A$2:$A$1000,$B$3,Dados!$C$2:$C$1000,10,Dados!$E$2:$E$1000,"IGCP")=0,"",SUMIFS(Dados!$F$2:$F$1000,Dados!$D$2:$D$1000,"Investimento",Dados!$E$2:$E$1000,"IGCP",Dados!$A$2:$A$1000,$B$3,Dados!$C$2:$C$1000,10))</f>
        <v/>
      </c>
      <c r="L33" s="6" t="str">
        <f aca="false">IF(COUNTIFS(Dados!$A$2:$A$1000,$B$3,Dados!$C$2:$C$1000,11,Dados!$E$2:$E$1000,"IGCP")=0,"",SUMIFS(Dados!$F$2:$F$1000,Dados!$D$2:$D$1000,"Investimento",Dados!$E$2:$E$1000,"IGCP",Dados!$A$2:$A$1000,$B$3,Dados!$C$2:$C$1000,11))</f>
        <v/>
      </c>
      <c r="M33" s="6" t="str">
        <f aca="false">IF(COUNTIFS(Dados!$A$2:$A$1000,$B$3,Dados!$C$2:$C$1000,12,Dados!$E$2:$E$1000,"IGCP")=0,"",SUMIFS(Dados!$F$2:$F$1000,Dados!$D$2:$D$1000,"Investimento",Dados!$E$2:$E$1000,"IGCP",Dados!$A$2:$A$1000,$B$3,Dados!$C$2:$C$1000,12))</f>
        <v/>
      </c>
    </row>
    <row r="34" customFormat="false" ht="15" hidden="false" customHeight="true" outlineLevel="0" collapsed="false">
      <c r="A34" s="8" t="s">
        <v>45</v>
      </c>
      <c r="B34" s="6" t="n">
        <f aca="false">IF(COUNTIFS(Dados!$A$2:$A$1000,$B$3,Dados!$C$2:$C$1000,1,Dados!$E$2:$E$1000,"PPR Santander")=0,"",SUMIFS(Dados!$F$2:$F$1000,Dados!$D$2:$D$1000,"Investimento",Dados!$E$2:$E$1000,"PPR Santander",Dados!$A$2:$A$1000,$B$3,Dados!$C$2:$C$1000,1))</f>
        <v>1709.21</v>
      </c>
      <c r="C34" s="6" t="n">
        <f aca="false">IF(COUNTIFS(Dados!$A$2:$A$1000,$B$3,Dados!$C$2:$C$1000,2,Dados!$E$2:$E$1000,"PPR Santander")=0,"",SUMIFS(Dados!$F$2:$F$1000,Dados!$D$2:$D$1000,"Investimento",Dados!$E$2:$E$1000,"PPR Santander",Dados!$A$2:$A$1000,$B$3,Dados!$C$2:$C$1000,2))</f>
        <v>1766</v>
      </c>
      <c r="D34" s="6" t="n">
        <f aca="false">IF(COUNTIFS(Dados!$A$2:$A$1000,$B$3,Dados!$C$2:$C$1000,3,Dados!$E$2:$E$1000,"PPR Santander")=0,"",SUMIFS(Dados!$F$2:$F$1000,Dados!$D$2:$D$1000,"Investimento",Dados!$E$2:$E$1000,"PPR Santander",Dados!$A$2:$A$1000,$B$3,Dados!$C$2:$C$1000,3))</f>
        <v>1784.76</v>
      </c>
      <c r="E34" s="6" t="n">
        <f aca="false">IF(COUNTIFS(Dados!$A$2:$A$1000,$B$3,Dados!$C$2:$C$1000,4,Dados!$E$2:$E$1000,"PPR Santander")=0,"",SUMIFS(Dados!$F$2:$F$1000,Dados!$D$2:$D$1000,"Investimento",Dados!$E$2:$E$1000,"PPR Santander",Dados!$A$2:$A$1000,$B$3,Dados!$C$2:$C$1000,4))</f>
        <v>1846.5</v>
      </c>
      <c r="F34" s="6" t="n">
        <f aca="false">IF(COUNTIFS(Dados!$A$2:$A$1000,$B$3,Dados!$C$2:$C$1000,5,Dados!$E$2:$E$1000,"PPR Santander")=0,"",SUMIFS(Dados!$F$2:$F$1000,Dados!$D$2:$D$1000,"Investimento",Dados!$E$2:$E$1000,"PPR Santander",Dados!$A$2:$A$1000,$B$3,Dados!$C$2:$C$1000,5))</f>
        <v>1909.28</v>
      </c>
      <c r="G34" s="6" t="str">
        <f aca="false">IF(COUNTIFS(Dados!$A$2:$A$1000,$B$3,Dados!$C$2:$C$1000,6,Dados!$E$2:$E$1000,"PPR Santander")=0,"",SUMIFS(Dados!$F$2:$F$1000,Dados!$D$2:$D$1000,"Investimento",Dados!$E$2:$E$1000,"PPR Santander",Dados!$A$2:$A$1000,$B$3,Dados!$C$2:$C$1000,6))</f>
        <v/>
      </c>
      <c r="H34" s="6" t="n">
        <f aca="false">IF(COUNTIFS(Dados!$A$2:$A$1000,$B$3,Dados!$C$2:$C$1000,7,Dados!$E$2:$E$1000,"PPR Santander")=0,"",SUMIFS(Dados!$F$2:$F$1000,Dados!$D$2:$D$1000,"Investimento",Dados!$E$2:$E$1000,"PPR Santander",Dados!$A$2:$A$1000,$B$3,Dados!$C$2:$C$1000,7))</f>
        <v>2001.54</v>
      </c>
      <c r="I34" s="6" t="n">
        <f aca="false">IF(COUNTIFS(Dados!$A$2:$A$1000,$B$3,Dados!$C$2:$C$1000,8,Dados!$E$2:$E$1000,"PPR Santander")=0,"",SUMIFS(Dados!$F$2:$F$1000,Dados!$D$2:$D$1000,"Investimento",Dados!$E$2:$E$1000,"PPR Santander",Dados!$A$2:$A$1000,$B$3,Dados!$C$2:$C$1000,8))</f>
        <v>2048.85</v>
      </c>
      <c r="J34" s="6" t="str">
        <f aca="false">IF(COUNTIFS(Dados!$A$2:$A$1000,$B$3,Dados!$C$2:$C$1000,9,Dados!$E$2:$E$1000,"PPR Santander")=0,"",SUMIFS(Dados!$F$2:$F$1000,Dados!$D$2:$D$1000,"Investimento",Dados!$E$2:$E$1000,"PPR Santander",Dados!$A$2:$A$1000,$B$3,Dados!$C$2:$C$1000,9))</f>
        <v/>
      </c>
      <c r="K34" s="6" t="str">
        <f aca="false">IF(COUNTIFS(Dados!$A$2:$A$1000,$B$3,Dados!$C$2:$C$1000,10,Dados!$E$2:$E$1000,"PPR Santander")=0,"",SUMIFS(Dados!$F$2:$F$1000,Dados!$D$2:$D$1000,"Investimento",Dados!$E$2:$E$1000,"PPR Santander",Dados!$A$2:$A$1000,$B$3,Dados!$C$2:$C$1000,10))</f>
        <v/>
      </c>
      <c r="L34" s="6" t="str">
        <f aca="false">IF(COUNTIFS(Dados!$A$2:$A$1000,$B$3,Dados!$C$2:$C$1000,11,Dados!$E$2:$E$1000,"PPR Santander")=0,"",SUMIFS(Dados!$F$2:$F$1000,Dados!$D$2:$D$1000,"Investimento",Dados!$E$2:$E$1000,"PPR Santander",Dados!$A$2:$A$1000,$B$3,Dados!$C$2:$C$1000,11))</f>
        <v/>
      </c>
      <c r="M34" s="6" t="str">
        <f aca="false">IF(COUNTIFS(Dados!$A$2:$A$1000,$B$3,Dados!$C$2:$C$1000,12,Dados!$E$2:$E$1000,"PPR Santander")=0,"",SUMIFS(Dados!$F$2:$F$1000,Dados!$D$2:$D$1000,"Investimento",Dados!$E$2:$E$1000,"PPR Santander",Dados!$A$2:$A$1000,$B$3,Dados!$C$2:$C$1000,12))</f>
        <v/>
      </c>
    </row>
    <row r="35" customFormat="false" ht="15" hidden="false" customHeight="true" outlineLevel="0" collapsed="false">
      <c r="A35" s="8" t="s">
        <v>46</v>
      </c>
      <c r="B35" s="6" t="n">
        <f aca="false">IF(COUNTIFS(Dados!$A$2:$A$1000,$B$3,Dados!$C$2:$C$1000,1,Dados!$E$2:$E$1000,"Revolut")=0,"",SUMIFS(Dados!$F$2:$F$1000,Dados!$D$2:$D$1000,"Investimento",Dados!$E$2:$E$1000,"Revolut",Dados!$A$2:$A$1000,$B$3,Dados!$C$2:$C$1000,1))</f>
        <v>226.13</v>
      </c>
      <c r="C35" s="6" t="n">
        <f aca="false">IF(COUNTIFS(Dados!$A$2:$A$1000,$B$3,Dados!$C$2:$C$1000,2,Dados!$E$2:$E$1000,"Revolut")=0,"",SUMIFS(Dados!$F$2:$F$1000,Dados!$D$2:$D$1000,"Investimento",Dados!$E$2:$E$1000,"Revolut",Dados!$A$2:$A$1000,$B$3,Dados!$C$2:$C$1000,2))</f>
        <v>246.28</v>
      </c>
      <c r="D35" s="6" t="n">
        <f aca="false">IF(COUNTIFS(Dados!$A$2:$A$1000,$B$3,Dados!$C$2:$C$1000,3,Dados!$E$2:$E$1000,"Revolut")=0,"",SUMIFS(Dados!$F$2:$F$1000,Dados!$D$2:$D$1000,"Investimento",Dados!$E$2:$E$1000,"Revolut",Dados!$A$2:$A$1000,$B$3,Dados!$C$2:$C$1000,3))</f>
        <v>266.57</v>
      </c>
      <c r="E35" s="6" t="n">
        <f aca="false">IF(COUNTIFS(Dados!$A$2:$A$1000,$B$3,Dados!$C$2:$C$1000,4,Dados!$E$2:$E$1000,"Revolut")=0,"",SUMIFS(Dados!$F$2:$F$1000,Dados!$D$2:$D$1000,"Investimento",Dados!$E$2:$E$1000,"Revolut",Dados!$A$2:$A$1000,$B$3,Dados!$C$2:$C$1000,4))</f>
        <v>287</v>
      </c>
      <c r="F35" s="6" t="n">
        <f aca="false">IF(COUNTIFS(Dados!$A$2:$A$1000,$B$3,Dados!$C$2:$C$1000,5,Dados!$E$2:$E$1000,"Revolut")=0,"",SUMIFS(Dados!$F$2:$F$1000,Dados!$D$2:$D$1000,"Investimento",Dados!$E$2:$E$1000,"Revolut",Dados!$A$2:$A$1000,$B$3,Dados!$C$2:$C$1000,5))</f>
        <v>312</v>
      </c>
      <c r="G35" s="6" t="str">
        <f aca="false">IF(COUNTIFS(Dados!$A$2:$A$1000,$B$3,Dados!$C$2:$C$1000,6,Dados!$E$2:$E$1000,"Revolut")=0,"",SUMIFS(Dados!$F$2:$F$1000,Dados!$D$2:$D$1000,"Investimento",Dados!$E$2:$E$1000,"Revolut",Dados!$A$2:$A$1000,$B$3,Dados!$C$2:$C$1000,6))</f>
        <v/>
      </c>
      <c r="H35" s="6" t="n">
        <f aca="false">IF(COUNTIFS(Dados!$A$2:$A$1000,$B$3,Dados!$C$2:$C$1000,7,Dados!$E$2:$E$1000,"Revolut")=0,"",SUMIFS(Dados!$F$2:$F$1000,Dados!$D$2:$D$1000,"Investimento",Dados!$E$2:$E$1000,"Revolut",Dados!$A$2:$A$1000,$B$3,Dados!$C$2:$C$1000,7))</f>
        <v>353.18</v>
      </c>
      <c r="I35" s="6" t="n">
        <f aca="false">IF(COUNTIFS(Dados!$A$2:$A$1000,$B$3,Dados!$C$2:$C$1000,8,Dados!$E$2:$E$1000,"Revolut")=0,"",SUMIFS(Dados!$F$2:$F$1000,Dados!$D$2:$D$1000,"Investimento",Dados!$E$2:$E$1000,"Revolut",Dados!$A$2:$A$1000,$B$3,Dados!$C$2:$C$1000,8))</f>
        <v>373.46</v>
      </c>
      <c r="J35" s="6" t="str">
        <f aca="false">IF(COUNTIFS(Dados!$A$2:$A$1000,$B$3,Dados!$C$2:$C$1000,9,Dados!$E$2:$E$1000,"Revolut")=0,"",SUMIFS(Dados!$F$2:$F$1000,Dados!$D$2:$D$1000,"Investimento",Dados!$E$2:$E$1000,"Revolut",Dados!$A$2:$A$1000,$B$3,Dados!$C$2:$C$1000,9))</f>
        <v/>
      </c>
      <c r="K35" s="6" t="str">
        <f aca="false">IF(COUNTIFS(Dados!$A$2:$A$1000,$B$3,Dados!$C$2:$C$1000,10,Dados!$E$2:$E$1000,"Revolut")=0,"",SUMIFS(Dados!$F$2:$F$1000,Dados!$D$2:$D$1000,"Investimento",Dados!$E$2:$E$1000,"Revolut",Dados!$A$2:$A$1000,$B$3,Dados!$C$2:$C$1000,10))</f>
        <v/>
      </c>
      <c r="L35" s="6" t="str">
        <f aca="false">IF(COUNTIFS(Dados!$A$2:$A$1000,$B$3,Dados!$C$2:$C$1000,11,Dados!$E$2:$E$1000,"Revolut")=0,"",SUMIFS(Dados!$F$2:$F$1000,Dados!$D$2:$D$1000,"Investimento",Dados!$E$2:$E$1000,"Revolut",Dados!$A$2:$A$1000,$B$3,Dados!$C$2:$C$1000,11))</f>
        <v/>
      </c>
      <c r="M35" s="6" t="str">
        <f aca="false">IF(COUNTIFS(Dados!$A$2:$A$1000,$B$3,Dados!$C$2:$C$1000,12,Dados!$E$2:$E$1000,"Revolut")=0,"",SUMIFS(Dados!$F$2:$F$1000,Dados!$D$2:$D$1000,"Investimento",Dados!$E$2:$E$1000,"Revolut",Dados!$A$2:$A$1000,$B$3,Dados!$C$2:$C$1000,12))</f>
        <v/>
      </c>
    </row>
    <row r="36" customFormat="false" ht="15" hidden="false" customHeight="true" outlineLevel="0" collapsed="false">
      <c r="A36" s="8" t="s">
        <v>47</v>
      </c>
      <c r="B36" s="6" t="n">
        <f aca="false">IF(COUNTIFS(Dados!$A$2:$A$1000,$B$3,Dados!$C$2:$C$1000,1,Dados!$E$2:$E$1000,"Trade Republic")=0,"",SUMIFS(Dados!$F$2:$F$1000,Dados!$D$2:$D$1000,"Investimento",Dados!$E$2:$E$1000,"Trade Republic",Dados!$A$2:$A$1000,$B$3,Dados!$C$2:$C$1000,1))</f>
        <v>18991.73</v>
      </c>
      <c r="C36" s="6" t="n">
        <f aca="false">IF(COUNTIFS(Dados!$A$2:$A$1000,$B$3,Dados!$C$2:$C$1000,2,Dados!$E$2:$E$1000,"Trade Republic")=0,"",SUMIFS(Dados!$F$2:$F$1000,Dados!$D$2:$D$1000,"Investimento",Dados!$E$2:$E$1000,"Trade Republic",Dados!$A$2:$A$1000,$B$3,Dados!$C$2:$C$1000,2))</f>
        <v>18991.73</v>
      </c>
      <c r="D36" s="6" t="n">
        <f aca="false">IF(COUNTIFS(Dados!$A$2:$A$1000,$B$3,Dados!$C$2:$C$1000,3,Dados!$E$2:$E$1000,"Trade Republic")=0,"",SUMIFS(Dados!$F$2:$F$1000,Dados!$D$2:$D$1000,"Investimento",Dados!$E$2:$E$1000,"Trade Republic",Dados!$A$2:$A$1000,$B$3,Dados!$C$2:$C$1000,3))</f>
        <v>17053.07</v>
      </c>
      <c r="E36" s="6" t="n">
        <f aca="false">IF(COUNTIFS(Dados!$A$2:$A$1000,$B$3,Dados!$C$2:$C$1000,4,Dados!$E$2:$E$1000,"Trade Republic")=0,"",SUMIFS(Dados!$F$2:$F$1000,Dados!$D$2:$D$1000,"Investimento",Dados!$E$2:$E$1000,"Trade Republic",Dados!$A$2:$A$1000,$B$3,Dados!$C$2:$C$1000,4))</f>
        <v>18081.26</v>
      </c>
      <c r="F36" s="6" t="n">
        <f aca="false">IF(COUNTIFS(Dados!$A$2:$A$1000,$B$3,Dados!$C$2:$C$1000,5,Dados!$E$2:$E$1000,"Trade Republic")=0,"",SUMIFS(Dados!$F$2:$F$1000,Dados!$D$2:$D$1000,"Investimento",Dados!$E$2:$E$1000,"Trade Republic",Dados!$A$2:$A$1000,$B$3,Dados!$C$2:$C$1000,5))</f>
        <v>19112.77</v>
      </c>
      <c r="G36" s="6" t="str">
        <f aca="false">IF(COUNTIFS(Dados!$A$2:$A$1000,$B$3,Dados!$C$2:$C$1000,6,Dados!$E$2:$E$1000,"Trade Republic")=0,"",SUMIFS(Dados!$F$2:$F$1000,Dados!$D$2:$D$1000,"Investimento",Dados!$E$2:$E$1000,"Trade Republic",Dados!$A$2:$A$1000,$B$3,Dados!$C$2:$C$1000,6))</f>
        <v/>
      </c>
      <c r="H36" s="6" t="n">
        <f aca="false">IF(COUNTIFS(Dados!$A$2:$A$1000,$B$3,Dados!$C$2:$C$1000,7,Dados!$E$2:$E$1000,"Trade Republic")=0,"",SUMIFS(Dados!$F$2:$F$1000,Dados!$D$2:$D$1000,"Investimento",Dados!$E$2:$E$1000,"Trade Republic",Dados!$A$2:$A$1000,$B$3,Dados!$C$2:$C$1000,7))</f>
        <v>18671.83</v>
      </c>
      <c r="I36" s="6" t="n">
        <f aca="false">IF(COUNTIFS(Dados!$A$2:$A$1000,$B$3,Dados!$C$2:$C$1000,8,Dados!$E$2:$E$1000,"Trade Republic")=0,"",SUMIFS(Dados!$F$2:$F$1000,Dados!$D$2:$D$1000,"Investimento",Dados!$E$2:$E$1000,"Trade Republic",Dados!$A$2:$A$1000,$B$3,Dados!$C$2:$C$1000,8))</f>
        <v>18697.52</v>
      </c>
      <c r="J36" s="6" t="str">
        <f aca="false">IF(COUNTIFS(Dados!$A$2:$A$1000,$B$3,Dados!$C$2:$C$1000,9,Dados!$E$2:$E$1000,"Trade Republic")=0,"",SUMIFS(Dados!$F$2:$F$1000,Dados!$D$2:$D$1000,"Investimento",Dados!$E$2:$E$1000,"Trade Republic",Dados!$A$2:$A$1000,$B$3,Dados!$C$2:$C$1000,9))</f>
        <v/>
      </c>
      <c r="K36" s="6" t="str">
        <f aca="false">IF(COUNTIFS(Dados!$A$2:$A$1000,$B$3,Dados!$C$2:$C$1000,10,Dados!$E$2:$E$1000,"Trade Republic")=0,"",SUMIFS(Dados!$F$2:$F$1000,Dados!$D$2:$D$1000,"Investimento",Dados!$E$2:$E$1000,"Trade Republic",Dados!$A$2:$A$1000,$B$3,Dados!$C$2:$C$1000,10))</f>
        <v/>
      </c>
      <c r="L36" s="6" t="str">
        <f aca="false">IF(COUNTIFS(Dados!$A$2:$A$1000,$B$3,Dados!$C$2:$C$1000,11,Dados!$E$2:$E$1000,"Trade Republic")=0,"",SUMIFS(Dados!$F$2:$F$1000,Dados!$D$2:$D$1000,"Investimento",Dados!$E$2:$E$1000,"Trade Republic",Dados!$A$2:$A$1000,$B$3,Dados!$C$2:$C$1000,11))</f>
        <v/>
      </c>
      <c r="M36" s="6" t="str">
        <f aca="false">IF(COUNTIFS(Dados!$A$2:$A$1000,$B$3,Dados!$C$2:$C$1000,12,Dados!$E$2:$E$1000,"Trade Republic")=0,"",SUMIFS(Dados!$F$2:$F$1000,Dados!$D$2:$D$1000,"Investimento",Dados!$E$2:$E$1000,"Trade Republic",Dados!$A$2:$A$1000,$B$3,Dados!$C$2:$C$1000,12))</f>
        <v/>
      </c>
    </row>
    <row r="37" customFormat="false" ht="15" hidden="false" customHeight="true" outlineLevel="0" collapsed="false">
      <c r="A37" s="8" t="s">
        <v>48</v>
      </c>
      <c r="B37" s="6" t="n">
        <f aca="false">IF(COUNTIFS(Dados!$A$2:$A$1000,$B$3,Dados!$C$2:$C$1000,1,Dados!$E$2:$E$1000,"XTB")=0,"",SUMIFS(Dados!$F$2:$F$1000,Dados!$D$2:$D$1000,"Investimento",Dados!$E$2:$E$1000,"XTB",Dados!$A$2:$A$1000,$B$3,Dados!$C$2:$C$1000,1))</f>
        <v>157.01</v>
      </c>
      <c r="C37" s="6" t="n">
        <f aca="false">IF(COUNTIFS(Dados!$A$2:$A$1000,$B$3,Dados!$C$2:$C$1000,2,Dados!$E$2:$E$1000,"XTB")=0,"",SUMIFS(Dados!$F$2:$F$1000,Dados!$D$2:$D$1000,"Investimento",Dados!$E$2:$E$1000,"XTB",Dados!$A$2:$A$1000,$B$3,Dados!$C$2:$C$1000,2))</f>
        <v>213.06</v>
      </c>
      <c r="D37" s="6" t="n">
        <f aca="false">IF(COUNTIFS(Dados!$A$2:$A$1000,$B$3,Dados!$C$2:$C$1000,3,Dados!$E$2:$E$1000,"XTB")=0,"",SUMIFS(Dados!$F$2:$F$1000,Dados!$D$2:$D$1000,"Investimento",Dados!$E$2:$E$1000,"XTB",Dados!$A$2:$A$1000,$B$3,Dados!$C$2:$C$1000,3))</f>
        <v>203.32</v>
      </c>
      <c r="E37" s="6" t="n">
        <f aca="false">IF(COUNTIFS(Dados!$A$2:$A$1000,$B$3,Dados!$C$2:$C$1000,4,Dados!$E$2:$E$1000,"XTB")=0,"",SUMIFS(Dados!$F$2:$F$1000,Dados!$D$2:$D$1000,"Investimento",Dados!$E$2:$E$1000,"XTB",Dados!$A$2:$A$1000,$B$3,Dados!$C$2:$C$1000,4))</f>
        <v>262.41</v>
      </c>
      <c r="F37" s="6" t="n">
        <f aca="false">IF(COUNTIFS(Dados!$A$2:$A$1000,$B$3,Dados!$C$2:$C$1000,5,Dados!$E$2:$E$1000,"XTB")=0,"",SUMIFS(Dados!$F$2:$F$1000,Dados!$D$2:$D$1000,"Investimento",Dados!$E$2:$E$1000,"XTB",Dados!$A$2:$A$1000,$B$3,Dados!$C$2:$C$1000,5))</f>
        <v>329.06</v>
      </c>
      <c r="G37" s="6" t="str">
        <f aca="false">IF(COUNTIFS(Dados!$A$2:$A$1000,$B$3,Dados!$C$2:$C$1000,6,Dados!$E$2:$E$1000,"XTB")=0,"",SUMIFS(Dados!$F$2:$F$1000,Dados!$D$2:$D$1000,"Investimento",Dados!$E$2:$E$1000,"XTB",Dados!$A$2:$A$1000,$B$3,Dados!$C$2:$C$1000,6))</f>
        <v/>
      </c>
      <c r="H37" s="6" t="n">
        <f aca="false">IF(COUNTIFS(Dados!$A$2:$A$1000,$B$3,Dados!$C$2:$C$1000,7,Dados!$E$2:$E$1000,"XTB")=0,"",SUMIFS(Dados!$F$2:$F$1000,Dados!$D$2:$D$1000,"Investimento",Dados!$E$2:$E$1000,"XTB",Dados!$A$2:$A$1000,$B$3,Dados!$C$2:$C$1000,7))</f>
        <v>422.2</v>
      </c>
      <c r="I37" s="6" t="n">
        <f aca="false">IF(COUNTIFS(Dados!$A$2:$A$1000,$B$3,Dados!$C$2:$C$1000,8,Dados!$E$2:$E$1000,"XTB")=0,"",SUMIFS(Dados!$F$2:$F$1000,Dados!$D$2:$D$1000,"Investimento",Dados!$E$2:$E$1000,"XTB",Dados!$A$2:$A$1000,$B$3,Dados!$C$2:$C$1000,8))</f>
        <v>480.4</v>
      </c>
      <c r="J37" s="6" t="str">
        <f aca="false">IF(COUNTIFS(Dados!$A$2:$A$1000,$B$3,Dados!$C$2:$C$1000,9,Dados!$E$2:$E$1000,"XTB")=0,"",SUMIFS(Dados!$F$2:$F$1000,Dados!$D$2:$D$1000,"Investimento",Dados!$E$2:$E$1000,"XTB",Dados!$A$2:$A$1000,$B$3,Dados!$C$2:$C$1000,9))</f>
        <v/>
      </c>
      <c r="K37" s="6" t="str">
        <f aca="false">IF(COUNTIFS(Dados!$A$2:$A$1000,$B$3,Dados!$C$2:$C$1000,10,Dados!$E$2:$E$1000,"XTB")=0,"",SUMIFS(Dados!$F$2:$F$1000,Dados!$D$2:$D$1000,"Investimento",Dados!$E$2:$E$1000,"XTB",Dados!$A$2:$A$1000,$B$3,Dados!$C$2:$C$1000,10))</f>
        <v/>
      </c>
      <c r="L37" s="6" t="str">
        <f aca="false">IF(COUNTIFS(Dados!$A$2:$A$1000,$B$3,Dados!$C$2:$C$1000,11,Dados!$E$2:$E$1000,"XTB")=0,"",SUMIFS(Dados!$F$2:$F$1000,Dados!$D$2:$D$1000,"Investimento",Dados!$E$2:$E$1000,"XTB",Dados!$A$2:$A$1000,$B$3,Dados!$C$2:$C$1000,11))</f>
        <v/>
      </c>
      <c r="M37" s="6" t="str">
        <f aca="false">IF(COUNTIFS(Dados!$A$2:$A$1000,$B$3,Dados!$C$2:$C$1000,12,Dados!$E$2:$E$1000,"XTB")=0,"",SUMIFS(Dados!$F$2:$F$1000,Dados!$D$2:$D$1000,"Investimento",Dados!$E$2:$E$1000,"XTB",Dados!$A$2:$A$1000,$B$3,Dados!$C$2:$C$1000,12))</f>
        <v/>
      </c>
    </row>
    <row r="40" customFormat="false" ht="15" hidden="false" customHeight="true" outlineLevel="0" collapsed="false">
      <c r="A40" s="5" t="s">
        <v>49</v>
      </c>
    </row>
    <row r="41" customFormat="false" ht="15" hidden="false" customHeight="true" outlineLevel="0" collapsed="false">
      <c r="A41" s="7" t="s">
        <v>27</v>
      </c>
      <c r="B41" s="7" t="s">
        <v>50</v>
      </c>
      <c r="C41" s="7" t="s">
        <v>51</v>
      </c>
      <c r="D41" s="7" t="s">
        <v>52</v>
      </c>
      <c r="E41" s="7" t="s">
        <v>53</v>
      </c>
    </row>
    <row r="42" customFormat="false" ht="15" hidden="false" customHeight="true" outlineLevel="0" collapsed="false">
      <c r="A42" s="8" t="s">
        <v>40</v>
      </c>
      <c r="B42" s="6" t="n">
        <f aca="false">SUMIFS(Dados!$F$2:$F$1000,Dados!$D$2:$D$1000,"Investimento",Dados!$E$2:$E$1000,"Activobank",Dados!$A$2:$A$1000,$B$3,Dados!$C$2:$C$1000,$B$4)</f>
        <v>100</v>
      </c>
      <c r="C42" s="6" t="n">
        <f aca="false">SUMIFS(Dados!$G$2:$G$1000,Dados!$D$2:$D$1000,"Investimento",Dados!$E$2:$E$1000,"Activobank",Dados!$A$2:$A$1000,$B$3)</f>
        <v>0</v>
      </c>
      <c r="D42" s="6" t="n">
        <f aca="false">SUMIFS(Dados!$H$2:$H$1000,Dados!$D$2:$D$1000,"Investimento",Dados!$E$2:$E$1000,"Activobank",Dados!$A$2:$A$1000,$B$3)</f>
        <v>-3900</v>
      </c>
      <c r="E42" s="10" t="n">
        <f aca="false">IFERROR(B42/$B$51,"")</f>
        <v>0.00270611167202793</v>
      </c>
    </row>
    <row r="43" customFormat="false" ht="15" hidden="false" customHeight="true" outlineLevel="0" collapsed="false">
      <c r="A43" s="8" t="s">
        <v>41</v>
      </c>
      <c r="B43" s="6" t="n">
        <f aca="false">SUMIFS(Dados!$F$2:$F$1000,Dados!$D$2:$D$1000,"Investimento",Dados!$E$2:$E$1000,"Bondora Go &amp; Grow",Dados!$A$2:$A$1000,$B$3,Dados!$C$2:$C$1000,$B$4)</f>
        <v>7089.2</v>
      </c>
      <c r="C43" s="6" t="n">
        <f aca="false">SUMIFS(Dados!$G$2:$G$1000,Dados!$D$2:$D$1000,"Investimento",Dados!$E$2:$E$1000,"Bondora Go &amp; Grow",Dados!$A$2:$A$1000,$B$3)</f>
        <v>522</v>
      </c>
      <c r="D43" s="6" t="n">
        <f aca="false">SUMIFS(Dados!$H$2:$H$1000,Dados!$D$2:$D$1000,"Investimento",Dados!$E$2:$E$1000,"Bondora Go &amp; Grow",Dados!$A$2:$A$1000,$B$3)</f>
        <v>315.91</v>
      </c>
      <c r="E43" s="10" t="n">
        <f aca="false">IFERROR(B43/$B$51,"")</f>
        <v>0.191841668653404</v>
      </c>
    </row>
    <row r="44" customFormat="false" ht="15" hidden="false" customHeight="true" outlineLevel="0" collapsed="false">
      <c r="A44" s="8" t="s">
        <v>42</v>
      </c>
      <c r="B44" s="6" t="n">
        <f aca="false">SUMIFS(Dados!$F$2:$F$1000,Dados!$D$2:$D$1000,"Investimento",Dados!$E$2:$E$1000,"Degiro",Dados!$A$2:$A$1000,$B$3,Dados!$C$2:$C$1000,$B$4)</f>
        <v>2430.88</v>
      </c>
      <c r="C44" s="6" t="n">
        <f aca="false">SUMIFS(Dados!$G$2:$G$1000,Dados!$D$2:$D$1000,"Investimento",Dados!$E$2:$E$1000,"Degiro",Dados!$A$2:$A$1000,$B$3)</f>
        <v>200</v>
      </c>
      <c r="D44" s="6" t="n">
        <f aca="false">SUMIFS(Dados!$H$2:$H$1000,Dados!$D$2:$D$1000,"Investimento",Dados!$E$2:$E$1000,"Degiro",Dados!$A$2:$A$1000,$B$3)</f>
        <v>220.05</v>
      </c>
      <c r="E44" s="10" t="n">
        <f aca="false">IFERROR(B44/$B$51,"")</f>
        <v>0.0657823274129924</v>
      </c>
    </row>
    <row r="45" customFormat="false" ht="15" hidden="false" customHeight="true" outlineLevel="0" collapsed="false">
      <c r="A45" s="8" t="s">
        <v>43</v>
      </c>
      <c r="B45" s="6" t="n">
        <f aca="false">SUMIFS(Dados!$F$2:$F$1000,Dados!$D$2:$D$1000,"Investimento",Dados!$E$2:$E$1000,"Golden SGF",Dados!$A$2:$A$1000,$B$3,Dados!$C$2:$C$1000,$B$4)</f>
        <v>2991.1</v>
      </c>
      <c r="C45" s="6" t="n">
        <f aca="false">SUMIFS(Dados!$G$2:$G$1000,Dados!$D$2:$D$1000,"Investimento",Dados!$E$2:$E$1000,"Golden SGF",Dados!$A$2:$A$1000,$B$3)</f>
        <v>300</v>
      </c>
      <c r="D45" s="6" t="n">
        <f aca="false">SUMIFS(Dados!$H$2:$H$1000,Dados!$D$2:$D$1000,"Investimento",Dados!$E$2:$E$1000,"Golden SGF",Dados!$A$2:$A$1000,$B$3)</f>
        <v>187.41</v>
      </c>
      <c r="E45" s="10" t="n">
        <f aca="false">IFERROR(B45/$B$51,"")</f>
        <v>0.0809425062220273</v>
      </c>
    </row>
    <row r="46" customFormat="false" ht="15" hidden="false" customHeight="true" outlineLevel="0" collapsed="false">
      <c r="A46" s="8" t="s">
        <v>44</v>
      </c>
      <c r="B46" s="6" t="n">
        <f aca="false">SUMIFS(Dados!$F$2:$F$1000,Dados!$D$2:$D$1000,"Investimento",Dados!$E$2:$E$1000,"IGCP",Dados!$A$2:$A$1000,$B$3,Dados!$C$2:$C$1000,$B$4)</f>
        <v>2741.98</v>
      </c>
      <c r="C46" s="6" t="n">
        <f aca="false">SUMIFS(Dados!$G$2:$G$1000,Dados!$D$2:$D$1000,"Investimento",Dados!$E$2:$E$1000,"IGCP",Dados!$A$2:$A$1000,$B$3)</f>
        <v>0</v>
      </c>
      <c r="D46" s="6" t="n">
        <f aca="false">SUMIFS(Dados!$H$2:$H$1000,Dados!$D$2:$D$1000,"Investimento",Dados!$E$2:$E$1000,"IGCP",Dados!$A$2:$A$1000,$B$3)</f>
        <v>34.5500000000002</v>
      </c>
      <c r="E46" s="10" t="n">
        <f aca="false">IFERROR(B46/$B$51,"")</f>
        <v>0.0742010408246713</v>
      </c>
    </row>
    <row r="47" customFormat="false" ht="15" hidden="false" customHeight="true" outlineLevel="0" collapsed="false">
      <c r="A47" s="8" t="s">
        <v>45</v>
      </c>
      <c r="B47" s="6" t="n">
        <f aca="false">SUMIFS(Dados!$F$2:$F$1000,Dados!$D$2:$D$1000,"Investimento",Dados!$E$2:$E$1000,"PPR Santander",Dados!$A$2:$A$1000,$B$3,Dados!$C$2:$C$1000,$B$4)</f>
        <v>2048.85</v>
      </c>
      <c r="C47" s="6" t="n">
        <f aca="false">SUMIFS(Dados!$G$2:$G$1000,Dados!$D$2:$D$1000,"Investimento",Dados!$E$2:$E$1000,"PPR Santander",Dados!$A$2:$A$1000,$B$3)</f>
        <v>300</v>
      </c>
      <c r="D47" s="6" t="n">
        <f aca="false">SUMIFS(Dados!$H$2:$H$1000,Dados!$D$2:$D$1000,"Investimento",Dados!$E$2:$E$1000,"PPR Santander",Dados!$A$2:$A$1000,$B$3)</f>
        <v>39.6399999999999</v>
      </c>
      <c r="E47" s="10" t="n">
        <f aca="false">IFERROR(B47/$B$51,"")</f>
        <v>0.0554441689923441</v>
      </c>
    </row>
    <row r="48" customFormat="false" ht="15" hidden="false" customHeight="true" outlineLevel="0" collapsed="false">
      <c r="A48" s="8" t="s">
        <v>46</v>
      </c>
      <c r="B48" s="6" t="n">
        <f aca="false">SUMIFS(Dados!$F$2:$F$1000,Dados!$D$2:$D$1000,"Investimento",Dados!$E$2:$E$1000,"Revolut",Dados!$A$2:$A$1000,$B$3,Dados!$C$2:$C$1000,$B$4)</f>
        <v>373.46</v>
      </c>
      <c r="C48" s="6" t="n">
        <f aca="false">SUMIFS(Dados!$G$2:$G$1000,Dados!$D$2:$D$1000,"Investimento",Dados!$E$2:$E$1000,"Revolut",Dados!$A$2:$A$1000,$B$3)</f>
        <v>100</v>
      </c>
      <c r="D48" s="6" t="n">
        <f aca="false">SUMIFS(Dados!$H$2:$H$1000,Dados!$D$2:$D$1000,"Investimento",Dados!$E$2:$E$1000,"Revolut",Dados!$A$2:$A$1000,$B$3)</f>
        <v>47.33</v>
      </c>
      <c r="E48" s="10" t="n">
        <f aca="false">IFERROR(B48/$B$51,"")</f>
        <v>0.0101062446503555</v>
      </c>
    </row>
    <row r="49" customFormat="false" ht="15" hidden="false" customHeight="true" outlineLevel="0" collapsed="false">
      <c r="A49" s="8" t="s">
        <v>47</v>
      </c>
      <c r="B49" s="6" t="n">
        <f aca="false">SUMIFS(Dados!$F$2:$F$1000,Dados!$D$2:$D$1000,"Investimento",Dados!$E$2:$E$1000,"Trade Republic",Dados!$A$2:$A$1000,$B$3,Dados!$C$2:$C$1000,$B$4)</f>
        <v>18697.52</v>
      </c>
      <c r="C49" s="6" t="n">
        <f aca="false">SUMIFS(Dados!$G$2:$G$1000,Dados!$D$2:$D$1000,"Investimento",Dados!$E$2:$E$1000,"Trade Republic",Dados!$A$2:$A$1000,$B$3)</f>
        <v>2000</v>
      </c>
      <c r="D49" s="6" t="n">
        <f aca="false">SUMIFS(Dados!$H$2:$H$1000,Dados!$D$2:$D$1000,"Investimento",Dados!$E$2:$E$1000,"Trade Republic",Dados!$A$2:$A$1000,$B$3)</f>
        <v>-2294.21</v>
      </c>
      <c r="E49" s="10" t="n">
        <f aca="false">IFERROR(B49/$B$51,"")</f>
        <v>0.505975771099756</v>
      </c>
    </row>
    <row r="50" customFormat="false" ht="15" hidden="false" customHeight="true" outlineLevel="0" collapsed="false">
      <c r="A50" s="8" t="s">
        <v>48</v>
      </c>
      <c r="B50" s="6" t="n">
        <f aca="false">SUMIFS(Dados!$F$2:$F$1000,Dados!$D$2:$D$1000,"Investimento",Dados!$E$2:$E$1000,"XTB",Dados!$A$2:$A$1000,$B$3,Dados!$C$2:$C$1000,$B$4)</f>
        <v>480.4</v>
      </c>
      <c r="C50" s="6" t="n">
        <f aca="false">SUMIFS(Dados!$G$2:$G$1000,Dados!$D$2:$D$1000,"Investimento",Dados!$E$2:$E$1000,"XTB",Dados!$A$2:$A$1000,$B$3)</f>
        <v>250</v>
      </c>
      <c r="D50" s="6" t="n">
        <f aca="false">SUMIFS(Dados!$H$2:$H$1000,Dados!$D$2:$D$1000,"Investimento",Dados!$E$2:$E$1000,"XTB",Dados!$A$2:$A$1000,$B$3)</f>
        <v>73.39</v>
      </c>
      <c r="E50" s="10" t="n">
        <f aca="false">IFERROR(B50/$B$51,"")</f>
        <v>0.0130001604724222</v>
      </c>
    </row>
    <row r="51" customFormat="false" ht="15" hidden="false" customHeight="true" outlineLevel="0" collapsed="false">
      <c r="A51" s="3" t="s">
        <v>54</v>
      </c>
      <c r="B51" s="11" t="n">
        <f aca="false">SUM(B42:B50)</f>
        <v>36953.39</v>
      </c>
      <c r="C51" s="11" t="n">
        <f aca="false">SUM(C42:C50)</f>
        <v>3672</v>
      </c>
      <c r="D51" s="11" t="n">
        <f aca="false">SUM(D42:D50)</f>
        <v>-5275.93</v>
      </c>
      <c r="E51" s="12" t="n">
        <f aca="false">SUM(E42:E50)</f>
        <v>1</v>
      </c>
    </row>
    <row r="54" customFormat="false" ht="15" hidden="false" customHeight="true" outlineLevel="0" collapsed="false">
      <c r="A54" s="5" t="s">
        <v>55</v>
      </c>
    </row>
    <row r="55" customFormat="false" ht="15" hidden="false" customHeight="true" outlineLevel="0" collapsed="false">
      <c r="A55" s="9" t="s">
        <v>56</v>
      </c>
      <c r="B55" s="9" t="s">
        <v>57</v>
      </c>
    </row>
    <row r="56" customFormat="false" ht="15" hidden="false" customHeight="true" outlineLevel="0" collapsed="false">
      <c r="A56" s="8" t="n">
        <v>2023</v>
      </c>
      <c r="B56" s="13" t="n">
        <v>19541.27</v>
      </c>
    </row>
    <row r="57" customFormat="false" ht="15" hidden="false" customHeight="true" outlineLevel="0" collapsed="false">
      <c r="A57" s="8" t="n">
        <v>2024</v>
      </c>
      <c r="B57" s="13" t="n">
        <v>40285.56</v>
      </c>
    </row>
    <row r="58" customFormat="false" ht="15" hidden="false" customHeight="true" outlineLevel="0" collapsed="false">
      <c r="A58" s="8" t="n">
        <v>2025</v>
      </c>
      <c r="B58" s="13" t="n">
        <v>41122.47</v>
      </c>
    </row>
    <row r="59" customFormat="false" ht="15" hidden="false" customHeight="true" outlineLevel="0" collapsed="false">
      <c r="A59" s="8" t="n">
        <f aca="false">$B$3</f>
        <v>2026</v>
      </c>
      <c r="B59" s="6" t="n">
        <f aca="false">SUMIFS(Dados!$F$2:$F$1000,Dados!$A$2:$A$1000,$B$3,Dados!$C$2:$C$1000,$B$4)</f>
        <v>38970.51</v>
      </c>
      <c r="C59" s="1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7" min="6" style="1" width="12"/>
    <col collapsed="false" customWidth="true" hidden="false" outlineLevel="0" max="8" min="8" style="1" width="13"/>
  </cols>
  <sheetData>
    <row r="1" customFormat="false" ht="15.75" hidden="false" customHeight="true" outlineLevel="0" collapsed="false">
      <c r="A1" s="15" t="s">
        <v>59</v>
      </c>
    </row>
    <row r="3" customFormat="false" ht="15" hidden="false" customHeight="true" outlineLevel="0" collapsed="false">
      <c r="A3" s="3" t="s">
        <v>56</v>
      </c>
      <c r="B3" s="4" t="n">
        <v>2026</v>
      </c>
    </row>
    <row r="4" customFormat="false" ht="15" hidden="false" customHeight="true" outlineLevel="0" collapsed="false">
      <c r="A4" s="3" t="s">
        <v>60</v>
      </c>
      <c r="B4" s="4" t="n">
        <v>9</v>
      </c>
    </row>
    <row r="5" customFormat="false" ht="15" hidden="false" customHeight="true" outlineLevel="0" collapsed="false">
      <c r="A5" s="3" t="s">
        <v>9</v>
      </c>
      <c r="B5" s="3" t="str">
        <f aca="false">INDEX({"Janeiro";"Fevereiro";"Março";"Abril";"Maio";"Junho";"Julho";"Agosto";"Setembro";"Outubro";"Novembro";"Dezembro"},$B$4)</f>
        <v>Setembro</v>
      </c>
    </row>
    <row r="7" customFormat="false" ht="45" hidden="false" customHeight="true" outlineLevel="0" collapsed="false">
      <c r="A7" s="16" t="s">
        <v>61</v>
      </c>
      <c r="B7" s="16"/>
      <c r="C7" s="16"/>
      <c r="D7" s="16"/>
      <c r="E7" s="16"/>
      <c r="F7" s="16"/>
      <c r="G7" s="16"/>
      <c r="H7" s="16"/>
    </row>
    <row r="9" customFormat="false" ht="15" hidden="false" customHeight="true" outlineLevel="0" collapsed="false">
      <c r="A9" s="7" t="s">
        <v>56</v>
      </c>
      <c r="B9" s="7" t="s">
        <v>9</v>
      </c>
      <c r="C9" s="7" t="s">
        <v>62</v>
      </c>
      <c r="D9" s="7" t="s">
        <v>63</v>
      </c>
      <c r="E9" s="7" t="s">
        <v>64</v>
      </c>
      <c r="F9" s="7" t="s">
        <v>65</v>
      </c>
      <c r="G9" s="7" t="s">
        <v>66</v>
      </c>
      <c r="H9" s="7" t="s">
        <v>67</v>
      </c>
    </row>
    <row r="10" customFormat="false" ht="15" hidden="false" customHeight="true" outlineLevel="0" collapsed="false">
      <c r="A10" s="17" t="n">
        <f aca="false">$B$3</f>
        <v>2026</v>
      </c>
      <c r="B10" s="17" t="str">
        <f aca="false">$B$5</f>
        <v>Setembro</v>
      </c>
      <c r="C10" s="17" t="n">
        <f aca="false">$B$4</f>
        <v>9</v>
      </c>
      <c r="D10" s="17" t="s">
        <v>3</v>
      </c>
      <c r="E10" s="17" t="s">
        <v>3</v>
      </c>
      <c r="F10" s="18"/>
      <c r="G10" s="19"/>
      <c r="H10" s="20" t="str">
        <f aca="false">IF(D10&lt;&gt;"Investimento","",IF(SUMPRODUCT(MAX((Dados!$E$2:$E$1000=E10)*((Dados!$A$2:$A$1000*100+Dados!$C$2:$C$1000)&lt;($B$3*100+C10))*(Dados!$A$2:$A$1000*100+Dados!$C$2:$C$1000)))=0,"",F10-SUMPRODUCT((Dados!$E$2:$E$1000=E10)*((Dados!$A$2:$A$1000*100+Dados!$C$2:$C$1000)=SUMPRODUCT(MAX((Dados!$E$2:$E$1000=E10)*((Dados!$A$2:$A$1000*100+Dados!$C$2:$C$1000)&lt;($B$3*100+C10))*(Dados!$A$2:$A$1000*100+Dados!$C$2:$C$1000))))*Dados!$F$2:$F$1000)-G10))</f>
        <v/>
      </c>
    </row>
    <row r="11" customFormat="false" ht="15" hidden="false" customHeight="true" outlineLevel="0" collapsed="false">
      <c r="A11" s="21" t="n">
        <f aca="false">$B$3</f>
        <v>2026</v>
      </c>
      <c r="B11" s="21" t="str">
        <f aca="false">$B$5</f>
        <v>Setembro</v>
      </c>
      <c r="C11" s="21" t="n">
        <f aca="false">$B$4</f>
        <v>9</v>
      </c>
      <c r="D11" s="21" t="s">
        <v>68</v>
      </c>
      <c r="E11" s="21" t="s">
        <v>40</v>
      </c>
      <c r="F11" s="18"/>
      <c r="G11" s="18"/>
      <c r="H11" s="22" t="n">
        <f aca="false">IF(D11&lt;&gt;"Investimento","",IF(SUMPRODUCT(MAX((Dados!$E$2:$E$1000=E11)*((Dados!$A$2:$A$1000*100+Dados!$C$2:$C$1000)&lt;($B$3*100+C11))*(Dados!$A$2:$A$1000*100+Dados!$C$2:$C$1000)))=0,"",F11-SUMPRODUCT((Dados!$E$2:$E$1000=E11)*((Dados!$A$2:$A$1000*100+Dados!$C$2:$C$1000)=SUMPRODUCT(MAX((Dados!$E$2:$E$1000=E11)*((Dados!$A$2:$A$1000*100+Dados!$C$2:$C$1000)&lt;($B$3*100+C11))*(Dados!$A$2:$A$1000*100+Dados!$C$2:$C$1000))))*Dados!$F$2:$F$1000)-G11))</f>
        <v>-100</v>
      </c>
    </row>
    <row r="12" customFormat="false" ht="15" hidden="false" customHeight="true" outlineLevel="0" collapsed="false">
      <c r="A12" s="21" t="n">
        <f aca="false">$B$3</f>
        <v>2026</v>
      </c>
      <c r="B12" s="21" t="str">
        <f aca="false">$B$5</f>
        <v>Setembro</v>
      </c>
      <c r="C12" s="21" t="n">
        <f aca="false">$B$4</f>
        <v>9</v>
      </c>
      <c r="D12" s="21" t="s">
        <v>68</v>
      </c>
      <c r="E12" s="21" t="s">
        <v>41</v>
      </c>
      <c r="F12" s="18"/>
      <c r="G12" s="18"/>
      <c r="H12" s="22" t="n">
        <f aca="false">IF(D12&lt;&gt;"Investimento","",IF(SUMPRODUCT(MAX((Dados!$E$2:$E$1000=E12)*((Dados!$A$2:$A$1000*100+Dados!$C$2:$C$1000)&lt;($B$3*100+C12))*(Dados!$A$2:$A$1000*100+Dados!$C$2:$C$1000)))=0,"",F12-SUMPRODUCT((Dados!$E$2:$E$1000=E12)*((Dados!$A$2:$A$1000*100+Dados!$C$2:$C$1000)=SUMPRODUCT(MAX((Dados!$E$2:$E$1000=E12)*((Dados!$A$2:$A$1000*100+Dados!$C$2:$C$1000)&lt;($B$3*100+C12))*(Dados!$A$2:$A$1000*100+Dados!$C$2:$C$1000))))*Dados!$F$2:$F$1000)-G12))</f>
        <v>-7089.2</v>
      </c>
    </row>
    <row r="13" customFormat="false" ht="15" hidden="false" customHeight="true" outlineLevel="0" collapsed="false">
      <c r="A13" s="21" t="n">
        <f aca="false">$B$3</f>
        <v>2026</v>
      </c>
      <c r="B13" s="21" t="str">
        <f aca="false">$B$5</f>
        <v>Setembro</v>
      </c>
      <c r="C13" s="21" t="n">
        <f aca="false">$B$4</f>
        <v>9</v>
      </c>
      <c r="D13" s="21" t="s">
        <v>68</v>
      </c>
      <c r="E13" s="21" t="s">
        <v>42</v>
      </c>
      <c r="F13" s="18"/>
      <c r="G13" s="18"/>
      <c r="H13" s="22" t="n">
        <f aca="false">IF(D13&lt;&gt;"Investimento","",IF(SUMPRODUCT(MAX((Dados!$E$2:$E$1000=E13)*((Dados!$A$2:$A$1000*100+Dados!$C$2:$C$1000)&lt;($B$3*100+C13))*(Dados!$A$2:$A$1000*100+Dados!$C$2:$C$1000)))=0,"",F13-SUMPRODUCT((Dados!$E$2:$E$1000=E13)*((Dados!$A$2:$A$1000*100+Dados!$C$2:$C$1000)=SUMPRODUCT(MAX((Dados!$E$2:$E$1000=E13)*((Dados!$A$2:$A$1000*100+Dados!$C$2:$C$1000)&lt;($B$3*100+C13))*(Dados!$A$2:$A$1000*100+Dados!$C$2:$C$1000))))*Dados!$F$2:$F$1000)-G13))</f>
        <v>-2430.88</v>
      </c>
    </row>
    <row r="14" customFormat="false" ht="15" hidden="false" customHeight="true" outlineLevel="0" collapsed="false">
      <c r="A14" s="21" t="n">
        <f aca="false">$B$3</f>
        <v>2026</v>
      </c>
      <c r="B14" s="21" t="str">
        <f aca="false">$B$5</f>
        <v>Setembro</v>
      </c>
      <c r="C14" s="21" t="n">
        <f aca="false">$B$4</f>
        <v>9</v>
      </c>
      <c r="D14" s="21" t="s">
        <v>68</v>
      </c>
      <c r="E14" s="21" t="s">
        <v>43</v>
      </c>
      <c r="F14" s="18"/>
      <c r="G14" s="18"/>
      <c r="H14" s="22" t="n">
        <f aca="false">IF(D14&lt;&gt;"Investimento","",IF(SUMPRODUCT(MAX((Dados!$E$2:$E$1000=E14)*((Dados!$A$2:$A$1000*100+Dados!$C$2:$C$1000)&lt;($B$3*100+C14))*(Dados!$A$2:$A$1000*100+Dados!$C$2:$C$1000)))=0,"",F14-SUMPRODUCT((Dados!$E$2:$E$1000=E14)*((Dados!$A$2:$A$1000*100+Dados!$C$2:$C$1000)=SUMPRODUCT(MAX((Dados!$E$2:$E$1000=E14)*((Dados!$A$2:$A$1000*100+Dados!$C$2:$C$1000)&lt;($B$3*100+C14))*(Dados!$A$2:$A$1000*100+Dados!$C$2:$C$1000))))*Dados!$F$2:$F$1000)-G14))</f>
        <v>-2991.1</v>
      </c>
    </row>
    <row r="15" customFormat="false" ht="15" hidden="false" customHeight="true" outlineLevel="0" collapsed="false">
      <c r="A15" s="21" t="n">
        <f aca="false">$B$3</f>
        <v>2026</v>
      </c>
      <c r="B15" s="21" t="str">
        <f aca="false">$B$5</f>
        <v>Setembro</v>
      </c>
      <c r="C15" s="21" t="n">
        <f aca="false">$B$4</f>
        <v>9</v>
      </c>
      <c r="D15" s="21" t="s">
        <v>68</v>
      </c>
      <c r="E15" s="21" t="s">
        <v>44</v>
      </c>
      <c r="F15" s="18"/>
      <c r="G15" s="18"/>
      <c r="H15" s="22" t="n">
        <f aca="false">IF(D15&lt;&gt;"Investimento","",IF(SUMPRODUCT(MAX((Dados!$E$2:$E$1000=E15)*((Dados!$A$2:$A$1000*100+Dados!$C$2:$C$1000)&lt;($B$3*100+C15))*(Dados!$A$2:$A$1000*100+Dados!$C$2:$C$1000)))=0,"",F15-SUMPRODUCT((Dados!$E$2:$E$1000=E15)*((Dados!$A$2:$A$1000*100+Dados!$C$2:$C$1000)=SUMPRODUCT(MAX((Dados!$E$2:$E$1000=E15)*((Dados!$A$2:$A$1000*100+Dados!$C$2:$C$1000)&lt;($B$3*100+C15))*(Dados!$A$2:$A$1000*100+Dados!$C$2:$C$1000))))*Dados!$F$2:$F$1000)-G15))</f>
        <v>-2741.98</v>
      </c>
    </row>
    <row r="16" customFormat="false" ht="15" hidden="false" customHeight="true" outlineLevel="0" collapsed="false">
      <c r="A16" s="21" t="n">
        <f aca="false">$B$3</f>
        <v>2026</v>
      </c>
      <c r="B16" s="21" t="str">
        <f aca="false">$B$5</f>
        <v>Setembro</v>
      </c>
      <c r="C16" s="21" t="n">
        <f aca="false">$B$4</f>
        <v>9</v>
      </c>
      <c r="D16" s="21" t="s">
        <v>68</v>
      </c>
      <c r="E16" s="21" t="s">
        <v>45</v>
      </c>
      <c r="F16" s="18"/>
      <c r="G16" s="18"/>
      <c r="H16" s="22" t="n">
        <f aca="false">IF(D16&lt;&gt;"Investimento","",IF(SUMPRODUCT(MAX((Dados!$E$2:$E$1000=E16)*((Dados!$A$2:$A$1000*100+Dados!$C$2:$C$1000)&lt;($B$3*100+C16))*(Dados!$A$2:$A$1000*100+Dados!$C$2:$C$1000)))=0,"",F16-SUMPRODUCT((Dados!$E$2:$E$1000=E16)*((Dados!$A$2:$A$1000*100+Dados!$C$2:$C$1000)=SUMPRODUCT(MAX((Dados!$E$2:$E$1000=E16)*((Dados!$A$2:$A$1000*100+Dados!$C$2:$C$1000)&lt;($B$3*100+C16))*(Dados!$A$2:$A$1000*100+Dados!$C$2:$C$1000))))*Dados!$F$2:$F$1000)-G16))</f>
        <v>-2048.85</v>
      </c>
    </row>
    <row r="17" customFormat="false" ht="15" hidden="false" customHeight="true" outlineLevel="0" collapsed="false">
      <c r="A17" s="21" t="n">
        <f aca="false">$B$3</f>
        <v>2026</v>
      </c>
      <c r="B17" s="21" t="str">
        <f aca="false">$B$5</f>
        <v>Setembro</v>
      </c>
      <c r="C17" s="21" t="n">
        <f aca="false">$B$4</f>
        <v>9</v>
      </c>
      <c r="D17" s="21" t="s">
        <v>68</v>
      </c>
      <c r="E17" s="21" t="s">
        <v>46</v>
      </c>
      <c r="F17" s="18"/>
      <c r="G17" s="18"/>
      <c r="H17" s="22" t="n">
        <f aca="false">IF(D17&lt;&gt;"Investimento","",IF(SUMPRODUCT(MAX((Dados!$E$2:$E$1000=E17)*((Dados!$A$2:$A$1000*100+Dados!$C$2:$C$1000)&lt;($B$3*100+C17))*(Dados!$A$2:$A$1000*100+Dados!$C$2:$C$1000)))=0,"",F17-SUMPRODUCT((Dados!$E$2:$E$1000=E17)*((Dados!$A$2:$A$1000*100+Dados!$C$2:$C$1000)=SUMPRODUCT(MAX((Dados!$E$2:$E$1000=E17)*((Dados!$A$2:$A$1000*100+Dados!$C$2:$C$1000)&lt;($B$3*100+C17))*(Dados!$A$2:$A$1000*100+Dados!$C$2:$C$1000))))*Dados!$F$2:$F$1000)-G17))</f>
        <v>-373.46</v>
      </c>
    </row>
    <row r="18" customFormat="false" ht="15" hidden="false" customHeight="true" outlineLevel="0" collapsed="false">
      <c r="A18" s="21" t="n">
        <f aca="false">$B$3</f>
        <v>2026</v>
      </c>
      <c r="B18" s="21" t="str">
        <f aca="false">$B$5</f>
        <v>Setembro</v>
      </c>
      <c r="C18" s="21" t="n">
        <f aca="false">$B$4</f>
        <v>9</v>
      </c>
      <c r="D18" s="21" t="s">
        <v>68</v>
      </c>
      <c r="E18" s="21" t="s">
        <v>47</v>
      </c>
      <c r="F18" s="18"/>
      <c r="G18" s="18"/>
      <c r="H18" s="22" t="n">
        <f aca="false">IF(D18&lt;&gt;"Investimento","",IF(SUMPRODUCT(MAX((Dados!$E$2:$E$1000=E18)*((Dados!$A$2:$A$1000*100+Dados!$C$2:$C$1000)&lt;($B$3*100+C18))*(Dados!$A$2:$A$1000*100+Dados!$C$2:$C$1000)))=0,"",F18-SUMPRODUCT((Dados!$E$2:$E$1000=E18)*((Dados!$A$2:$A$1000*100+Dados!$C$2:$C$1000)=SUMPRODUCT(MAX((Dados!$E$2:$E$1000=E18)*((Dados!$A$2:$A$1000*100+Dados!$C$2:$C$1000)&lt;($B$3*100+C18))*(Dados!$A$2:$A$1000*100+Dados!$C$2:$C$1000))))*Dados!$F$2:$F$1000)-G18))</f>
        <v>-18697.52</v>
      </c>
    </row>
    <row r="19" customFormat="false" ht="15" hidden="false" customHeight="true" outlineLevel="0" collapsed="false">
      <c r="A19" s="21" t="n">
        <f aca="false">$B$3</f>
        <v>2026</v>
      </c>
      <c r="B19" s="21" t="str">
        <f aca="false">$B$5</f>
        <v>Setembro</v>
      </c>
      <c r="C19" s="21" t="n">
        <f aca="false">$B$4</f>
        <v>9</v>
      </c>
      <c r="D19" s="21" t="s">
        <v>68</v>
      </c>
      <c r="E19" s="21" t="s">
        <v>48</v>
      </c>
      <c r="F19" s="18"/>
      <c r="G19" s="18"/>
      <c r="H19" s="22" t="n">
        <f aca="false">IF(D19&lt;&gt;"Investimento","",IF(SUMPRODUCT(MAX((Dados!$E$2:$E$1000=E19)*((Dados!$A$2:$A$1000*100+Dados!$C$2:$C$1000)&lt;($B$3*100+C19))*(Dados!$A$2:$A$1000*100+Dados!$C$2:$C$1000)))=0,"",F19-SUMPRODUCT((Dados!$E$2:$E$1000=E19)*((Dados!$A$2:$A$1000*100+Dados!$C$2:$C$1000)=SUMPRODUCT(MAX((Dados!$E$2:$E$1000=E19)*((Dados!$A$2:$A$1000*100+Dados!$C$2:$C$1000)&lt;($B$3*100+C19))*(Dados!$A$2:$A$1000*100+Dados!$C$2:$C$1000))))*Dados!$F$2:$F$1000)-G19))</f>
        <v>-480.4</v>
      </c>
    </row>
    <row r="20" customFormat="false" ht="15" hidden="false" customHeight="true" outlineLevel="0" collapsed="false">
      <c r="A20" s="23" t="n">
        <f aca="false">$B$3</f>
        <v>2026</v>
      </c>
      <c r="B20" s="23" t="str">
        <f aca="false">$B$5</f>
        <v>Setembro</v>
      </c>
      <c r="C20" s="23" t="n">
        <f aca="false">$B$4</f>
        <v>9</v>
      </c>
      <c r="D20" s="23" t="s">
        <v>12</v>
      </c>
      <c r="E20" s="23" t="s">
        <v>4</v>
      </c>
      <c r="F20" s="18"/>
      <c r="G20" s="24"/>
      <c r="H20" s="25" t="str">
        <f aca="false">IF(D20&lt;&gt;"Investimento","",IF(SUMPRODUCT(MAX((Dados!$E$2:$E$1000=E20)*((Dados!$A$2:$A$1000*100+Dados!$C$2:$C$1000)&lt;($B$3*100+C20))*(Dados!$A$2:$A$1000*100+Dados!$C$2:$C$1000)))=0,"",F20-SUMPRODUCT((Dados!$E$2:$E$1000=E20)*((Dados!$A$2:$A$1000*100+Dados!$C$2:$C$1000)=SUMPRODUCT(MAX((Dados!$E$2:$E$1000=E20)*((Dados!$A$2:$A$1000*100+Dados!$C$2:$C$1000)&lt;($B$3*100+C20))*(Dados!$A$2:$A$1000*100+Dados!$C$2:$C$1000))))*Dados!$F$2:$F$1000)-G20))</f>
        <v/>
      </c>
    </row>
    <row r="21" customFormat="false" ht="15" hidden="false" customHeight="true" outlineLevel="0" collapsed="false">
      <c r="A21" s="26" t="n">
        <f aca="false">$B$3</f>
        <v>2026</v>
      </c>
      <c r="B21" s="26" t="str">
        <f aca="false">$B$5</f>
        <v>Setembro</v>
      </c>
      <c r="C21" s="26" t="n">
        <f aca="false">$B$4</f>
        <v>9</v>
      </c>
      <c r="D21" s="26" t="s">
        <v>69</v>
      </c>
      <c r="E21" s="26" t="s">
        <v>70</v>
      </c>
      <c r="F21" s="18"/>
      <c r="G21" s="27"/>
      <c r="H21" s="28" t="str">
        <f aca="false">IF(D21&lt;&gt;"Investimento","",IF(SUMPRODUCT(MAX((Dados!$E$2:$E$1000=E21)*((Dados!$A$2:$A$1000*100+Dados!$C$2:$C$1000)&lt;($B$3*100+C21))*(Dados!$A$2:$A$1000*100+Dados!$C$2:$C$1000)))=0,"",F21-SUMPRODUCT((Dados!$E$2:$E$1000=E21)*((Dados!$A$2:$A$1000*100+Dados!$C$2:$C$1000)=SUMPRODUCT(MAX((Dados!$E$2:$E$1000=E21)*((Dados!$A$2:$A$1000*100+Dados!$C$2:$C$1000)&lt;($B$3*100+C21))*(Dados!$A$2:$A$1000*100+Dados!$C$2:$C$1000))))*Dados!$F$2:$F$1000)-G21))</f>
        <v/>
      </c>
    </row>
  </sheetData>
  <mergeCells count="1"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A74" activeCellId="0" sqref="A7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7" min="6" style="1" width="12"/>
    <col collapsed="false" customWidth="true" hidden="false" outlineLevel="0" max="8" min="8" style="1" width="15.76"/>
    <col collapsed="false" customWidth="true" hidden="false" outlineLevel="0" max="10" min="10" style="1" width="60"/>
  </cols>
  <sheetData>
    <row r="1" customFormat="false" ht="15" hidden="false" customHeight="true" outlineLevel="0" collapsed="false">
      <c r="A1" s="7" t="s">
        <v>56</v>
      </c>
      <c r="B1" s="7" t="s">
        <v>9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J1" s="14" t="s">
        <v>71</v>
      </c>
    </row>
    <row r="2" customFormat="false" ht="15" hidden="false" customHeight="true" outlineLevel="0" collapsed="false">
      <c r="A2" s="17" t="n">
        <v>2026</v>
      </c>
      <c r="B2" s="17" t="s">
        <v>14</v>
      </c>
      <c r="C2" s="17" t="n">
        <v>1</v>
      </c>
      <c r="D2" s="17" t="s">
        <v>3</v>
      </c>
      <c r="E2" s="17" t="s">
        <v>3</v>
      </c>
      <c r="F2" s="20" t="n">
        <v>1670.18</v>
      </c>
      <c r="G2" s="17"/>
      <c r="H2" s="20" t="str">
        <f aca="false">IF(D2&lt;&gt;"Investimento","",IF(SUMPRODUCT(MAX(($E$2:$E$1000=E2)*(($A$2:$A$1000*100+$C$2:$C$1000)&lt;(A2*100+C2))*($A$2:$A$1000*100+$C$2:$C$1000)))=0,"",F2-SUMPRODUCT(($E$2:$E$1000=E2)*(($A$2:$A$1000*100+$C$2:$C$1000)=SUMPRODUCT(MAX(($E$2:$E$1000=E2)*(($A$2:$A$1000*100+$C$2:$C$1000)&lt;(A2*100+C2))*($A$2:$A$1000*100+$C$2:$C$1000))))*$F$2:$F$1000)-G2))</f>
        <v/>
      </c>
    </row>
    <row r="3" customFormat="false" ht="15" hidden="false" customHeight="true" outlineLevel="0" collapsed="false">
      <c r="A3" s="21" t="n">
        <v>2026</v>
      </c>
      <c r="B3" s="21" t="s">
        <v>14</v>
      </c>
      <c r="C3" s="21" t="n">
        <v>1</v>
      </c>
      <c r="D3" s="21" t="s">
        <v>68</v>
      </c>
      <c r="E3" s="21" t="s">
        <v>40</v>
      </c>
      <c r="F3" s="22" t="n">
        <v>4000</v>
      </c>
      <c r="G3" s="21"/>
      <c r="H3" s="22" t="str">
        <f aca="false">IF(D3&lt;&gt;"Investimento","",IF(SUMPRODUCT(MAX(($E$2:$E$1000=E3)*(($A$2:$A$1000*100+$C$2:$C$1000)&lt;(A3*100+C3))*($A$2:$A$1000*100+$C$2:$C$1000)))=0,"",F3-SUMPRODUCT(($E$2:$E$1000=E3)*(($A$2:$A$1000*100+$C$2:$C$1000)=SUMPRODUCT(MAX(($E$2:$E$1000=E3)*(($A$2:$A$1000*100+$C$2:$C$1000)&lt;(A3*100+C3))*($A$2:$A$1000*100+$C$2:$C$1000))))*$F$2:$F$1000)-G3))</f>
        <v/>
      </c>
    </row>
    <row r="4" customFormat="false" ht="15" hidden="false" customHeight="true" outlineLevel="0" collapsed="false">
      <c r="A4" s="21" t="n">
        <v>2026</v>
      </c>
      <c r="B4" s="21" t="s">
        <v>14</v>
      </c>
      <c r="C4" s="21" t="n">
        <v>1</v>
      </c>
      <c r="D4" s="21" t="s">
        <v>68</v>
      </c>
      <c r="E4" s="21" t="s">
        <v>41</v>
      </c>
      <c r="F4" s="22" t="n">
        <v>6251.29</v>
      </c>
      <c r="G4" s="21"/>
      <c r="H4" s="22" t="str">
        <f aca="false">IF(D4&lt;&gt;"Investimento","",IF(SUMPRODUCT(MAX(($E$2:$E$1000=E4)*(($A$2:$A$1000*100+$C$2:$C$1000)&lt;(A4*100+C4))*($A$2:$A$1000*100+$C$2:$C$1000)))=0,"",F4-SUMPRODUCT(($E$2:$E$1000=E4)*(($A$2:$A$1000*100+$C$2:$C$1000)=SUMPRODUCT(MAX(($E$2:$E$1000=E4)*(($A$2:$A$1000*100+$C$2:$C$1000)&lt;(A4*100+C4))*($A$2:$A$1000*100+$C$2:$C$1000))))*$F$2:$F$1000)-G4))</f>
        <v/>
      </c>
    </row>
    <row r="5" customFormat="false" ht="15" hidden="false" customHeight="true" outlineLevel="0" collapsed="false">
      <c r="A5" s="21" t="n">
        <v>2026</v>
      </c>
      <c r="B5" s="21" t="s">
        <v>14</v>
      </c>
      <c r="C5" s="21" t="n">
        <v>1</v>
      </c>
      <c r="D5" s="21" t="s">
        <v>68</v>
      </c>
      <c r="E5" s="21" t="s">
        <v>42</v>
      </c>
      <c r="F5" s="22" t="n">
        <v>2010.83</v>
      </c>
      <c r="G5" s="21"/>
      <c r="H5" s="22" t="str">
        <f aca="false">IF(D5&lt;&gt;"Investimento","",IF(SUMPRODUCT(MAX(($E$2:$E$1000=E5)*(($A$2:$A$1000*100+$C$2:$C$1000)&lt;(A5*100+C5))*($A$2:$A$1000*100+$C$2:$C$1000)))=0,"",F5-SUMPRODUCT(($E$2:$E$1000=E5)*(($A$2:$A$1000*100+$C$2:$C$1000)=SUMPRODUCT(MAX(($E$2:$E$1000=E5)*(($A$2:$A$1000*100+$C$2:$C$1000)&lt;(A5*100+C5))*($A$2:$A$1000*100+$C$2:$C$1000))))*$F$2:$F$1000)-G5))</f>
        <v/>
      </c>
    </row>
    <row r="6" customFormat="false" ht="15" hidden="false" customHeight="true" outlineLevel="0" collapsed="false">
      <c r="A6" s="21" t="n">
        <v>2026</v>
      </c>
      <c r="B6" s="21" t="s">
        <v>14</v>
      </c>
      <c r="C6" s="21" t="n">
        <v>1</v>
      </c>
      <c r="D6" s="21" t="s">
        <v>68</v>
      </c>
      <c r="E6" s="21" t="s">
        <v>43</v>
      </c>
      <c r="F6" s="22" t="n">
        <v>2503.69</v>
      </c>
      <c r="G6" s="21"/>
      <c r="H6" s="22" t="str">
        <f aca="false">IF(D6&lt;&gt;"Investimento","",IF(SUMPRODUCT(MAX(($E$2:$E$1000=E6)*(($A$2:$A$1000*100+$C$2:$C$1000)&lt;(A6*100+C6))*($A$2:$A$1000*100+$C$2:$C$1000)))=0,"",F6-SUMPRODUCT(($E$2:$E$1000=E6)*(($A$2:$A$1000*100+$C$2:$C$1000)=SUMPRODUCT(MAX(($E$2:$E$1000=E6)*(($A$2:$A$1000*100+$C$2:$C$1000)&lt;(A6*100+C6))*($A$2:$A$1000*100+$C$2:$C$1000))))*$F$2:$F$1000)-G6))</f>
        <v/>
      </c>
    </row>
    <row r="7" customFormat="false" ht="15" hidden="false" customHeight="true" outlineLevel="0" collapsed="false">
      <c r="A7" s="21" t="n">
        <v>2026</v>
      </c>
      <c r="B7" s="21" t="s">
        <v>14</v>
      </c>
      <c r="C7" s="21" t="n">
        <v>1</v>
      </c>
      <c r="D7" s="21" t="s">
        <v>68</v>
      </c>
      <c r="E7" s="21" t="s">
        <v>44</v>
      </c>
      <c r="F7" s="22" t="n">
        <v>2707.43</v>
      </c>
      <c r="G7" s="21"/>
      <c r="H7" s="22" t="str">
        <f aca="false">IF(D7&lt;&gt;"Investimento","",IF(SUMPRODUCT(MAX(($E$2:$E$1000=E7)*(($A$2:$A$1000*100+$C$2:$C$1000)&lt;(A7*100+C7))*($A$2:$A$1000*100+$C$2:$C$1000)))=0,"",F7-SUMPRODUCT(($E$2:$E$1000=E7)*(($A$2:$A$1000*100+$C$2:$C$1000)=SUMPRODUCT(MAX(($E$2:$E$1000=E7)*(($A$2:$A$1000*100+$C$2:$C$1000)&lt;(A7*100+C7))*($A$2:$A$1000*100+$C$2:$C$1000))))*$F$2:$F$1000)-G7))</f>
        <v/>
      </c>
    </row>
    <row r="8" customFormat="false" ht="15" hidden="false" customHeight="true" outlineLevel="0" collapsed="false">
      <c r="A8" s="21" t="n">
        <v>2026</v>
      </c>
      <c r="B8" s="21" t="s">
        <v>14</v>
      </c>
      <c r="C8" s="21" t="n">
        <v>1</v>
      </c>
      <c r="D8" s="21" t="s">
        <v>68</v>
      </c>
      <c r="E8" s="21" t="s">
        <v>45</v>
      </c>
      <c r="F8" s="22" t="n">
        <v>1709.21</v>
      </c>
      <c r="G8" s="21"/>
      <c r="H8" s="22" t="str">
        <f aca="false">IF(D8&lt;&gt;"Investimento","",IF(SUMPRODUCT(MAX(($E$2:$E$1000=E8)*(($A$2:$A$1000*100+$C$2:$C$1000)&lt;(A8*100+C8))*($A$2:$A$1000*100+$C$2:$C$1000)))=0,"",F8-SUMPRODUCT(($E$2:$E$1000=E8)*(($A$2:$A$1000*100+$C$2:$C$1000)=SUMPRODUCT(MAX(($E$2:$E$1000=E8)*(($A$2:$A$1000*100+$C$2:$C$1000)&lt;(A8*100+C8))*($A$2:$A$1000*100+$C$2:$C$1000))))*$F$2:$F$1000)-G8))</f>
        <v/>
      </c>
    </row>
    <row r="9" customFormat="false" ht="15" hidden="false" customHeight="true" outlineLevel="0" collapsed="false">
      <c r="A9" s="21" t="n">
        <v>2026</v>
      </c>
      <c r="B9" s="21" t="s">
        <v>14</v>
      </c>
      <c r="C9" s="21" t="n">
        <v>1</v>
      </c>
      <c r="D9" s="21" t="s">
        <v>68</v>
      </c>
      <c r="E9" s="21" t="s">
        <v>46</v>
      </c>
      <c r="F9" s="22" t="n">
        <v>226.13</v>
      </c>
      <c r="G9" s="21"/>
      <c r="H9" s="22" t="str">
        <f aca="false">IF(D9&lt;&gt;"Investimento","",IF(SUMPRODUCT(MAX(($E$2:$E$1000=E9)*(($A$2:$A$1000*100+$C$2:$C$1000)&lt;(A9*100+C9))*($A$2:$A$1000*100+$C$2:$C$1000)))=0,"",F9-SUMPRODUCT(($E$2:$E$1000=E9)*(($A$2:$A$1000*100+$C$2:$C$1000)=SUMPRODUCT(MAX(($E$2:$E$1000=E9)*(($A$2:$A$1000*100+$C$2:$C$1000)&lt;(A9*100+C9))*($A$2:$A$1000*100+$C$2:$C$1000))))*$F$2:$F$1000)-G9))</f>
        <v/>
      </c>
    </row>
    <row r="10" customFormat="false" ht="15" hidden="false" customHeight="true" outlineLevel="0" collapsed="false">
      <c r="A10" s="21" t="n">
        <v>2026</v>
      </c>
      <c r="B10" s="21" t="s">
        <v>14</v>
      </c>
      <c r="C10" s="21" t="n">
        <v>1</v>
      </c>
      <c r="D10" s="21" t="s">
        <v>68</v>
      </c>
      <c r="E10" s="21" t="s">
        <v>47</v>
      </c>
      <c r="F10" s="22" t="n">
        <v>18991.73</v>
      </c>
      <c r="G10" s="21"/>
      <c r="H10" s="22" t="str">
        <f aca="false">IF(D10&lt;&gt;"Investimento","",IF(SUMPRODUCT(MAX(($E$2:$E$1000=E10)*(($A$2:$A$1000*100+$C$2:$C$1000)&lt;(A10*100+C10))*($A$2:$A$1000*100+$C$2:$C$1000)))=0,"",F10-SUMPRODUCT(($E$2:$E$1000=E10)*(($A$2:$A$1000*100+$C$2:$C$1000)=SUMPRODUCT(MAX(($E$2:$E$1000=E10)*(($A$2:$A$1000*100+$C$2:$C$1000)&lt;(A10*100+C10))*($A$2:$A$1000*100+$C$2:$C$1000))))*$F$2:$F$1000)-G10))</f>
        <v/>
      </c>
    </row>
    <row r="11" customFormat="false" ht="15" hidden="false" customHeight="true" outlineLevel="0" collapsed="false">
      <c r="A11" s="21" t="n">
        <v>2026</v>
      </c>
      <c r="B11" s="21" t="s">
        <v>14</v>
      </c>
      <c r="C11" s="21" t="n">
        <v>1</v>
      </c>
      <c r="D11" s="21" t="s">
        <v>68</v>
      </c>
      <c r="E11" s="21" t="s">
        <v>48</v>
      </c>
      <c r="F11" s="22" t="n">
        <v>157.01</v>
      </c>
      <c r="G11" s="21"/>
      <c r="H11" s="22" t="str">
        <f aca="false">IF(D11&lt;&gt;"Investimento","",IF(SUMPRODUCT(MAX(($E$2:$E$1000=E11)*(($A$2:$A$1000*100+$C$2:$C$1000)&lt;(A11*100+C11))*($A$2:$A$1000*100+$C$2:$C$1000)))=0,"",F11-SUMPRODUCT(($E$2:$E$1000=E11)*(($A$2:$A$1000*100+$C$2:$C$1000)=SUMPRODUCT(MAX(($E$2:$E$1000=E11)*(($A$2:$A$1000*100+$C$2:$C$1000)&lt;(A11*100+C11))*($A$2:$A$1000*100+$C$2:$C$1000))))*$F$2:$F$1000)-G11))</f>
        <v/>
      </c>
    </row>
    <row r="12" customFormat="false" ht="15" hidden="false" customHeight="true" outlineLevel="0" collapsed="false">
      <c r="A12" s="23" t="n">
        <v>2026</v>
      </c>
      <c r="B12" s="23" t="s">
        <v>14</v>
      </c>
      <c r="C12" s="23" t="n">
        <v>1</v>
      </c>
      <c r="D12" s="23" t="s">
        <v>12</v>
      </c>
      <c r="E12" s="23" t="s">
        <v>4</v>
      </c>
      <c r="F12" s="25" t="n">
        <v>470</v>
      </c>
      <c r="G12" s="23"/>
      <c r="H12" s="25" t="str">
        <f aca="false">IF(D12&lt;&gt;"Investimento","",IF(SUMPRODUCT(MAX(($E$2:$E$1000=E12)*(($A$2:$A$1000*100+$C$2:$C$1000)&lt;(A12*100+C12))*($A$2:$A$1000*100+$C$2:$C$1000)))=0,"",F12-SUMPRODUCT(($E$2:$E$1000=E12)*(($A$2:$A$1000*100+$C$2:$C$1000)=SUMPRODUCT(MAX(($E$2:$E$1000=E12)*(($A$2:$A$1000*100+$C$2:$C$1000)&lt;(A12*100+C12))*($A$2:$A$1000*100+$C$2:$C$1000))))*$F$2:$F$1000)-G12))</f>
        <v/>
      </c>
    </row>
    <row r="13" customFormat="false" ht="15" hidden="false" customHeight="true" outlineLevel="0" collapsed="false">
      <c r="A13" s="26" t="n">
        <v>2026</v>
      </c>
      <c r="B13" s="26" t="s">
        <v>14</v>
      </c>
      <c r="C13" s="26" t="n">
        <v>1</v>
      </c>
      <c r="D13" s="26" t="s">
        <v>69</v>
      </c>
      <c r="E13" s="26" t="s">
        <v>70</v>
      </c>
      <c r="F13" s="28" t="n">
        <v>35.12</v>
      </c>
      <c r="G13" s="26"/>
      <c r="H13" s="28" t="str">
        <f aca="false">IF(D13&lt;&gt;"Investimento","",IF(SUMPRODUCT(MAX(($E$2:$E$1000=E13)*(($A$2:$A$1000*100+$C$2:$C$1000)&lt;(A13*100+C13))*($A$2:$A$1000*100+$C$2:$C$1000)))=0,"",F13-SUMPRODUCT(($E$2:$E$1000=E13)*(($A$2:$A$1000*100+$C$2:$C$1000)=SUMPRODUCT(MAX(($E$2:$E$1000=E13)*(($A$2:$A$1000*100+$C$2:$C$1000)&lt;(A13*100+C13))*($A$2:$A$1000*100+$C$2:$C$1000))))*$F$2:$F$1000)-G13))</f>
        <v/>
      </c>
    </row>
    <row r="14" customFormat="false" ht="15" hidden="false" customHeight="true" outlineLevel="0" collapsed="false">
      <c r="A14" s="17" t="n">
        <v>2026</v>
      </c>
      <c r="B14" s="17" t="s">
        <v>15</v>
      </c>
      <c r="C14" s="17" t="n">
        <v>2</v>
      </c>
      <c r="D14" s="17" t="s">
        <v>3</v>
      </c>
      <c r="E14" s="17" t="s">
        <v>3</v>
      </c>
      <c r="F14" s="20" t="n">
        <v>2628.38</v>
      </c>
      <c r="G14" s="17"/>
      <c r="H14" s="20" t="str">
        <f aca="false">IF(D14&lt;&gt;"Investimento","",IF(SUMPRODUCT(MAX(($E$2:$E$1000=E14)*(($A$2:$A$1000*100+$C$2:$C$1000)&lt;(A14*100+C14))*($A$2:$A$1000*100+$C$2:$C$1000)))=0,"",F14-SUMPRODUCT(($E$2:$E$1000=E14)*(($A$2:$A$1000*100+$C$2:$C$1000)=SUMPRODUCT(MAX(($E$2:$E$1000=E14)*(($A$2:$A$1000*100+$C$2:$C$1000)&lt;(A14*100+C14))*($A$2:$A$1000*100+$C$2:$C$1000))))*$F$2:$F$1000)-G14))</f>
        <v/>
      </c>
    </row>
    <row r="15" customFormat="false" ht="15" hidden="false" customHeight="true" outlineLevel="0" collapsed="false">
      <c r="A15" s="21" t="n">
        <v>2026</v>
      </c>
      <c r="B15" s="21" t="s">
        <v>15</v>
      </c>
      <c r="C15" s="21" t="n">
        <v>2</v>
      </c>
      <c r="D15" s="21" t="s">
        <v>68</v>
      </c>
      <c r="E15" s="21" t="s">
        <v>40</v>
      </c>
      <c r="F15" s="22" t="n">
        <v>267.71</v>
      </c>
      <c r="G15" s="22" t="n">
        <v>0</v>
      </c>
      <c r="H15" s="22" t="n">
        <f aca="false">IF(D15&lt;&gt;"Investimento","",IF(SUMPRODUCT(MAX(($E$2:$E$1000=E15)*(($A$2:$A$1000*100+$C$2:$C$1000)&lt;(A15*100+C15))*($A$2:$A$1000*100+$C$2:$C$1000)))=0,"",F15-SUMPRODUCT(($E$2:$E$1000=E15)*(($A$2:$A$1000*100+$C$2:$C$1000)=SUMPRODUCT(MAX(($E$2:$E$1000=E15)*(($A$2:$A$1000*100+$C$2:$C$1000)&lt;(A15*100+C15))*($A$2:$A$1000*100+$C$2:$C$1000))))*$F$2:$F$1000)-G15))</f>
        <v>-3732.29</v>
      </c>
    </row>
    <row r="16" customFormat="false" ht="15" hidden="false" customHeight="true" outlineLevel="0" collapsed="false">
      <c r="A16" s="21" t="n">
        <v>2026</v>
      </c>
      <c r="B16" s="21" t="s">
        <v>15</v>
      </c>
      <c r="C16" s="21" t="n">
        <v>2</v>
      </c>
      <c r="D16" s="21" t="s">
        <v>68</v>
      </c>
      <c r="E16" s="21" t="s">
        <v>41</v>
      </c>
      <c r="F16" s="22" t="n">
        <v>6309.34</v>
      </c>
      <c r="G16" s="22" t="n">
        <v>26</v>
      </c>
      <c r="H16" s="22" t="n">
        <f aca="false">IF(D16&lt;&gt;"Investimento","",IF(SUMPRODUCT(MAX(($E$2:$E$1000=E16)*(($A$2:$A$1000*100+$C$2:$C$1000)&lt;(A16*100+C16))*($A$2:$A$1000*100+$C$2:$C$1000)))=0,"",F16-SUMPRODUCT(($E$2:$E$1000=E16)*(($A$2:$A$1000*100+$C$2:$C$1000)=SUMPRODUCT(MAX(($E$2:$E$1000=E16)*(($A$2:$A$1000*100+$C$2:$C$1000)&lt;(A16*100+C16))*($A$2:$A$1000*100+$C$2:$C$1000))))*$F$2:$F$1000)-G16))</f>
        <v>32.0500000000002</v>
      </c>
    </row>
    <row r="17" customFormat="false" ht="15" hidden="false" customHeight="true" outlineLevel="0" collapsed="false">
      <c r="A17" s="21" t="n">
        <v>2026</v>
      </c>
      <c r="B17" s="21" t="s">
        <v>15</v>
      </c>
      <c r="C17" s="21" t="n">
        <v>2</v>
      </c>
      <c r="D17" s="21" t="s">
        <v>68</v>
      </c>
      <c r="E17" s="21" t="s">
        <v>42</v>
      </c>
      <c r="F17" s="22" t="n">
        <v>2046.34</v>
      </c>
      <c r="G17" s="22" t="n">
        <v>0</v>
      </c>
      <c r="H17" s="22" t="n">
        <f aca="false">IF(D17&lt;&gt;"Investimento","",IF(SUMPRODUCT(MAX(($E$2:$E$1000=E17)*(($A$2:$A$1000*100+$C$2:$C$1000)&lt;(A17*100+C17))*($A$2:$A$1000*100+$C$2:$C$1000)))=0,"",F17-SUMPRODUCT(($E$2:$E$1000=E17)*(($A$2:$A$1000*100+$C$2:$C$1000)=SUMPRODUCT(MAX(($E$2:$E$1000=E17)*(($A$2:$A$1000*100+$C$2:$C$1000)&lt;(A17*100+C17))*($A$2:$A$1000*100+$C$2:$C$1000))))*$F$2:$F$1000)-G17))</f>
        <v>35.51</v>
      </c>
    </row>
    <row r="18" customFormat="false" ht="15" hidden="false" customHeight="true" outlineLevel="0" collapsed="false">
      <c r="A18" s="21" t="n">
        <v>2026</v>
      </c>
      <c r="B18" s="21" t="s">
        <v>15</v>
      </c>
      <c r="C18" s="21" t="n">
        <v>2</v>
      </c>
      <c r="D18" s="21" t="s">
        <v>68</v>
      </c>
      <c r="E18" s="21" t="s">
        <v>43</v>
      </c>
      <c r="F18" s="22" t="n">
        <v>2557.77</v>
      </c>
      <c r="G18" s="22" t="n">
        <v>50</v>
      </c>
      <c r="H18" s="22" t="n">
        <f aca="false">IF(D18&lt;&gt;"Investimento","",IF(SUMPRODUCT(MAX(($E$2:$E$1000=E18)*(($A$2:$A$1000*100+$C$2:$C$1000)&lt;(A18*100+C18))*($A$2:$A$1000*100+$C$2:$C$1000)))=0,"",F18-SUMPRODUCT(($E$2:$E$1000=E18)*(($A$2:$A$1000*100+$C$2:$C$1000)=SUMPRODUCT(MAX(($E$2:$E$1000=E18)*(($A$2:$A$1000*100+$C$2:$C$1000)&lt;(A18*100+C18))*($A$2:$A$1000*100+$C$2:$C$1000))))*$F$2:$F$1000)-G18))</f>
        <v>4.07999999999993</v>
      </c>
    </row>
    <row r="19" customFormat="false" ht="15" hidden="false" customHeight="true" outlineLevel="0" collapsed="false">
      <c r="A19" s="21" t="n">
        <v>2026</v>
      </c>
      <c r="B19" s="21" t="s">
        <v>15</v>
      </c>
      <c r="C19" s="21" t="n">
        <v>2</v>
      </c>
      <c r="D19" s="21" t="s">
        <v>68</v>
      </c>
      <c r="E19" s="21" t="s">
        <v>44</v>
      </c>
      <c r="F19" s="22" t="n">
        <v>2707.43</v>
      </c>
      <c r="G19" s="22" t="n">
        <v>0</v>
      </c>
      <c r="H19" s="22" t="n">
        <f aca="false">IF(D19&lt;&gt;"Investimento","",IF(SUMPRODUCT(MAX(($E$2:$E$1000=E19)*(($A$2:$A$1000*100+$C$2:$C$1000)&lt;(A19*100+C19))*($A$2:$A$1000*100+$C$2:$C$1000)))=0,"",F19-SUMPRODUCT(($E$2:$E$1000=E19)*(($A$2:$A$1000*100+$C$2:$C$1000)=SUMPRODUCT(MAX(($E$2:$E$1000=E19)*(($A$2:$A$1000*100+$C$2:$C$1000)&lt;(A19*100+C19))*($A$2:$A$1000*100+$C$2:$C$1000))))*$F$2:$F$1000)-G19))</f>
        <v>0</v>
      </c>
    </row>
    <row r="20" customFormat="false" ht="15" hidden="false" customHeight="true" outlineLevel="0" collapsed="false">
      <c r="A20" s="21" t="n">
        <v>2026</v>
      </c>
      <c r="B20" s="21" t="s">
        <v>15</v>
      </c>
      <c r="C20" s="21" t="n">
        <v>2</v>
      </c>
      <c r="D20" s="21" t="s">
        <v>68</v>
      </c>
      <c r="E20" s="21" t="s">
        <v>45</v>
      </c>
      <c r="F20" s="22" t="n">
        <v>1766</v>
      </c>
      <c r="G20" s="22" t="n">
        <v>50</v>
      </c>
      <c r="H20" s="22" t="n">
        <f aca="false">IF(D20&lt;&gt;"Investimento","",IF(SUMPRODUCT(MAX(($E$2:$E$1000=E20)*(($A$2:$A$1000*100+$C$2:$C$1000)&lt;(A20*100+C20))*($A$2:$A$1000*100+$C$2:$C$1000)))=0,"",F20-SUMPRODUCT(($E$2:$E$1000=E20)*(($A$2:$A$1000*100+$C$2:$C$1000)=SUMPRODUCT(MAX(($E$2:$E$1000=E20)*(($A$2:$A$1000*100+$C$2:$C$1000)&lt;(A20*100+C20))*($A$2:$A$1000*100+$C$2:$C$1000))))*$F$2:$F$1000)-G20))</f>
        <v>6.78999999999996</v>
      </c>
    </row>
    <row r="21" customFormat="false" ht="15" hidden="false" customHeight="true" outlineLevel="0" collapsed="false">
      <c r="A21" s="21" t="n">
        <v>2026</v>
      </c>
      <c r="B21" s="21" t="s">
        <v>15</v>
      </c>
      <c r="C21" s="21" t="n">
        <v>2</v>
      </c>
      <c r="D21" s="21" t="s">
        <v>68</v>
      </c>
      <c r="E21" s="21" t="s">
        <v>46</v>
      </c>
      <c r="F21" s="22" t="n">
        <v>246.28</v>
      </c>
      <c r="G21" s="22" t="n">
        <v>20</v>
      </c>
      <c r="H21" s="22" t="n">
        <f aca="false">IF(D21&lt;&gt;"Investimento","",IF(SUMPRODUCT(MAX(($E$2:$E$1000=E21)*(($A$2:$A$1000*100+$C$2:$C$1000)&lt;(A21*100+C21))*($A$2:$A$1000*100+$C$2:$C$1000)))=0,"",F21-SUMPRODUCT(($E$2:$E$1000=E21)*(($A$2:$A$1000*100+$C$2:$C$1000)=SUMPRODUCT(MAX(($E$2:$E$1000=E21)*(($A$2:$A$1000*100+$C$2:$C$1000)&lt;(A21*100+C21))*($A$2:$A$1000*100+$C$2:$C$1000))))*$F$2:$F$1000)-G21))</f>
        <v>0.150000000000006</v>
      </c>
    </row>
    <row r="22" customFormat="false" ht="15" hidden="false" customHeight="true" outlineLevel="0" collapsed="false">
      <c r="A22" s="21" t="n">
        <v>2026</v>
      </c>
      <c r="B22" s="21" t="s">
        <v>15</v>
      </c>
      <c r="C22" s="21" t="n">
        <v>2</v>
      </c>
      <c r="D22" s="21" t="s">
        <v>68</v>
      </c>
      <c r="E22" s="21" t="s">
        <v>47</v>
      </c>
      <c r="F22" s="22" t="n">
        <v>18991.73</v>
      </c>
      <c r="G22" s="22" t="n">
        <v>0</v>
      </c>
      <c r="H22" s="22" t="n">
        <f aca="false">IF(D22&lt;&gt;"Investimento","",IF(SUMPRODUCT(MAX(($E$2:$E$1000=E22)*(($A$2:$A$1000*100+$C$2:$C$1000)&lt;(A22*100+C22))*($A$2:$A$1000*100+$C$2:$C$1000)))=0,"",F22-SUMPRODUCT(($E$2:$E$1000=E22)*(($A$2:$A$1000*100+$C$2:$C$1000)=SUMPRODUCT(MAX(($E$2:$E$1000=E22)*(($A$2:$A$1000*100+$C$2:$C$1000)&lt;(A22*100+C22))*($A$2:$A$1000*100+$C$2:$C$1000))))*$F$2:$F$1000)-G22))</f>
        <v>0</v>
      </c>
    </row>
    <row r="23" customFormat="false" ht="15" hidden="false" customHeight="true" outlineLevel="0" collapsed="false">
      <c r="A23" s="21" t="n">
        <v>2026</v>
      </c>
      <c r="B23" s="21" t="s">
        <v>15</v>
      </c>
      <c r="C23" s="21" t="n">
        <v>2</v>
      </c>
      <c r="D23" s="21" t="s">
        <v>68</v>
      </c>
      <c r="E23" s="21" t="s">
        <v>48</v>
      </c>
      <c r="F23" s="22" t="n">
        <v>213.06</v>
      </c>
      <c r="G23" s="22" t="n">
        <v>50</v>
      </c>
      <c r="H23" s="22" t="n">
        <f aca="false">IF(D23&lt;&gt;"Investimento","",IF(SUMPRODUCT(MAX(($E$2:$E$1000=E23)*(($A$2:$A$1000*100+$C$2:$C$1000)&lt;(A23*100+C23))*($A$2:$A$1000*100+$C$2:$C$1000)))=0,"",F23-SUMPRODUCT(($E$2:$E$1000=E23)*(($A$2:$A$1000*100+$C$2:$C$1000)=SUMPRODUCT(MAX(($E$2:$E$1000=E23)*(($A$2:$A$1000*100+$C$2:$C$1000)&lt;(A23*100+C23))*($A$2:$A$1000*100+$C$2:$C$1000))))*$F$2:$F$1000)-G23))</f>
        <v>6.05000000000001</v>
      </c>
    </row>
    <row r="24" customFormat="false" ht="15" hidden="false" customHeight="true" outlineLevel="0" collapsed="false">
      <c r="A24" s="23" t="n">
        <v>2026</v>
      </c>
      <c r="B24" s="23" t="s">
        <v>15</v>
      </c>
      <c r="C24" s="23" t="n">
        <v>2</v>
      </c>
      <c r="D24" s="23" t="s">
        <v>12</v>
      </c>
      <c r="E24" s="23" t="s">
        <v>4</v>
      </c>
      <c r="F24" s="25" t="n">
        <v>370</v>
      </c>
      <c r="G24" s="23"/>
      <c r="H24" s="25" t="str">
        <f aca="false">IF(D24&lt;&gt;"Investimento","",IF(SUMPRODUCT(MAX(($E$2:$E$1000=E24)*(($A$2:$A$1000*100+$C$2:$C$1000)&lt;(A24*100+C24))*($A$2:$A$1000*100+$C$2:$C$1000)))=0,"",F24-SUMPRODUCT(($E$2:$E$1000=E24)*(($A$2:$A$1000*100+$C$2:$C$1000)=SUMPRODUCT(MAX(($E$2:$E$1000=E24)*(($A$2:$A$1000*100+$C$2:$C$1000)&lt;(A24*100+C24))*($A$2:$A$1000*100+$C$2:$C$1000))))*$F$2:$F$1000)-G24))</f>
        <v/>
      </c>
    </row>
    <row r="25" customFormat="false" ht="15" hidden="false" customHeight="true" outlineLevel="0" collapsed="false">
      <c r="A25" s="26" t="n">
        <v>2026</v>
      </c>
      <c r="B25" s="26" t="s">
        <v>15</v>
      </c>
      <c r="C25" s="26" t="n">
        <v>2</v>
      </c>
      <c r="D25" s="26" t="s">
        <v>69</v>
      </c>
      <c r="E25" s="26" t="s">
        <v>70</v>
      </c>
      <c r="F25" s="28" t="n">
        <v>30.05</v>
      </c>
      <c r="G25" s="26"/>
      <c r="H25" s="28" t="str">
        <f aca="false">IF(D25&lt;&gt;"Investimento","",IF(SUMPRODUCT(MAX(($E$2:$E$1000=E25)*(($A$2:$A$1000*100+$C$2:$C$1000)&lt;(A25*100+C25))*($A$2:$A$1000*100+$C$2:$C$1000)))=0,"",F25-SUMPRODUCT(($E$2:$E$1000=E25)*(($A$2:$A$1000*100+$C$2:$C$1000)=SUMPRODUCT(MAX(($E$2:$E$1000=E25)*(($A$2:$A$1000*100+$C$2:$C$1000)&lt;(A25*100+C25))*($A$2:$A$1000*100+$C$2:$C$1000))))*$F$2:$F$1000)-G25))</f>
        <v/>
      </c>
    </row>
    <row r="26" customFormat="false" ht="15" hidden="false" customHeight="true" outlineLevel="0" collapsed="false">
      <c r="A26" s="17" t="n">
        <v>2026</v>
      </c>
      <c r="B26" s="17" t="s">
        <v>16</v>
      </c>
      <c r="C26" s="17" t="n">
        <v>3</v>
      </c>
      <c r="D26" s="17" t="s">
        <v>3</v>
      </c>
      <c r="E26" s="17" t="s">
        <v>3</v>
      </c>
      <c r="F26" s="20" t="n">
        <v>2675.51</v>
      </c>
      <c r="G26" s="17"/>
      <c r="H26" s="20" t="str">
        <f aca="false">IF(D26&lt;&gt;"Investimento","",IF(SUMPRODUCT(MAX(($E$2:$E$1000=E26)*(($A$2:$A$1000*100+$C$2:$C$1000)&lt;(A26*100+C26))*($A$2:$A$1000*100+$C$2:$C$1000)))=0,"",F26-SUMPRODUCT(($E$2:$E$1000=E26)*(($A$2:$A$1000*100+$C$2:$C$1000)=SUMPRODUCT(MAX(($E$2:$E$1000=E26)*(($A$2:$A$1000*100+$C$2:$C$1000)&lt;(A26*100+C26))*($A$2:$A$1000*100+$C$2:$C$1000))))*$F$2:$F$1000)-G26))</f>
        <v/>
      </c>
    </row>
    <row r="27" customFormat="false" ht="15" hidden="false" customHeight="true" outlineLevel="0" collapsed="false">
      <c r="A27" s="21" t="n">
        <v>2026</v>
      </c>
      <c r="B27" s="21" t="s">
        <v>16</v>
      </c>
      <c r="C27" s="21" t="n">
        <v>3</v>
      </c>
      <c r="D27" s="21" t="s">
        <v>68</v>
      </c>
      <c r="E27" s="21" t="s">
        <v>40</v>
      </c>
      <c r="F27" s="22" t="n">
        <v>100</v>
      </c>
      <c r="G27" s="22" t="n">
        <v>0</v>
      </c>
      <c r="H27" s="22" t="n">
        <f aca="false">IF(D27&lt;&gt;"Investimento","",IF(SUMPRODUCT(MAX(($E$2:$E$1000=E27)*(($A$2:$A$1000*100+$C$2:$C$1000)&lt;(A27*100+C27))*($A$2:$A$1000*100+$C$2:$C$1000)))=0,"",F27-SUMPRODUCT(($E$2:$E$1000=E27)*(($A$2:$A$1000*100+$C$2:$C$1000)=SUMPRODUCT(MAX(($E$2:$E$1000=E27)*(($A$2:$A$1000*100+$C$2:$C$1000)&lt;(A27*100+C27))*($A$2:$A$1000*100+$C$2:$C$1000))))*$F$2:$F$1000)-G27))</f>
        <v>-167.71</v>
      </c>
    </row>
    <row r="28" customFormat="false" ht="15" hidden="false" customHeight="true" outlineLevel="0" collapsed="false">
      <c r="A28" s="21" t="n">
        <v>2026</v>
      </c>
      <c r="B28" s="21" t="s">
        <v>16</v>
      </c>
      <c r="C28" s="21" t="n">
        <v>3</v>
      </c>
      <c r="D28" s="21" t="s">
        <v>68</v>
      </c>
      <c r="E28" s="21" t="s">
        <v>41</v>
      </c>
      <c r="F28" s="22" t="n">
        <v>6386.73</v>
      </c>
      <c r="G28" s="22" t="n">
        <v>55</v>
      </c>
      <c r="H28" s="22" t="n">
        <f aca="false">IF(D28&lt;&gt;"Investimento","",IF(SUMPRODUCT(MAX(($E$2:$E$1000=E28)*(($A$2:$A$1000*100+$C$2:$C$1000)&lt;(A28*100+C28))*($A$2:$A$1000*100+$C$2:$C$1000)))=0,"",F28-SUMPRODUCT(($E$2:$E$1000=E28)*(($A$2:$A$1000*100+$C$2:$C$1000)=SUMPRODUCT(MAX(($E$2:$E$1000=E28)*(($A$2:$A$1000*100+$C$2:$C$1000)&lt;(A28*100+C28))*($A$2:$A$1000*100+$C$2:$C$1000))))*$F$2:$F$1000)-G28))</f>
        <v>22.3899999999994</v>
      </c>
    </row>
    <row r="29" customFormat="false" ht="15" hidden="false" customHeight="true" outlineLevel="0" collapsed="false">
      <c r="A29" s="21" t="n">
        <v>2026</v>
      </c>
      <c r="B29" s="21" t="s">
        <v>16</v>
      </c>
      <c r="C29" s="21" t="n">
        <v>3</v>
      </c>
      <c r="D29" s="21" t="s">
        <v>68</v>
      </c>
      <c r="E29" s="21" t="s">
        <v>42</v>
      </c>
      <c r="F29" s="22" t="n">
        <v>1971.27</v>
      </c>
      <c r="G29" s="22" t="n">
        <v>0</v>
      </c>
      <c r="H29" s="22" t="n">
        <f aca="false">IF(D29&lt;&gt;"Investimento","",IF(SUMPRODUCT(MAX(($E$2:$E$1000=E29)*(($A$2:$A$1000*100+$C$2:$C$1000)&lt;(A29*100+C29))*($A$2:$A$1000*100+$C$2:$C$1000)))=0,"",F29-SUMPRODUCT(($E$2:$E$1000=E29)*(($A$2:$A$1000*100+$C$2:$C$1000)=SUMPRODUCT(MAX(($E$2:$E$1000=E29)*(($A$2:$A$1000*100+$C$2:$C$1000)&lt;(A29*100+C29))*($A$2:$A$1000*100+$C$2:$C$1000))))*$F$2:$F$1000)-G29))</f>
        <v>-75.0699999999999</v>
      </c>
    </row>
    <row r="30" customFormat="false" ht="15" hidden="false" customHeight="true" outlineLevel="0" collapsed="false">
      <c r="A30" s="21" t="n">
        <v>2026</v>
      </c>
      <c r="B30" s="21" t="s">
        <v>16</v>
      </c>
      <c r="C30" s="21" t="n">
        <v>3</v>
      </c>
      <c r="D30" s="21" t="s">
        <v>68</v>
      </c>
      <c r="E30" s="21" t="s">
        <v>43</v>
      </c>
      <c r="F30" s="22" t="n">
        <v>2504.71</v>
      </c>
      <c r="G30" s="22" t="n">
        <v>50</v>
      </c>
      <c r="H30" s="22" t="n">
        <f aca="false">IF(D30&lt;&gt;"Investimento","",IF(SUMPRODUCT(MAX(($E$2:$E$1000=E30)*(($A$2:$A$1000*100+$C$2:$C$1000)&lt;(A30*100+C30))*($A$2:$A$1000*100+$C$2:$C$1000)))=0,"",F30-SUMPRODUCT(($E$2:$E$1000=E30)*(($A$2:$A$1000*100+$C$2:$C$1000)=SUMPRODUCT(MAX(($E$2:$E$1000=E30)*(($A$2:$A$1000*100+$C$2:$C$1000)&lt;(A30*100+C30))*($A$2:$A$1000*100+$C$2:$C$1000))))*$F$2:$F$1000)-G30))</f>
        <v>-103.06</v>
      </c>
    </row>
    <row r="31" customFormat="false" ht="15" hidden="false" customHeight="true" outlineLevel="0" collapsed="false">
      <c r="A31" s="21" t="n">
        <v>2026</v>
      </c>
      <c r="B31" s="21" t="s">
        <v>16</v>
      </c>
      <c r="C31" s="21" t="n">
        <v>3</v>
      </c>
      <c r="D31" s="21" t="s">
        <v>68</v>
      </c>
      <c r="E31" s="21" t="s">
        <v>44</v>
      </c>
      <c r="F31" s="22" t="n">
        <v>2707.43</v>
      </c>
      <c r="G31" s="22" t="n">
        <v>0</v>
      </c>
      <c r="H31" s="22" t="n">
        <f aca="false">IF(D31&lt;&gt;"Investimento","",IF(SUMPRODUCT(MAX(($E$2:$E$1000=E31)*(($A$2:$A$1000*100+$C$2:$C$1000)&lt;(A31*100+C31))*($A$2:$A$1000*100+$C$2:$C$1000)))=0,"",F31-SUMPRODUCT(($E$2:$E$1000=E31)*(($A$2:$A$1000*100+$C$2:$C$1000)=SUMPRODUCT(MAX(($E$2:$E$1000=E31)*(($A$2:$A$1000*100+$C$2:$C$1000)&lt;(A31*100+C31))*($A$2:$A$1000*100+$C$2:$C$1000))))*$F$2:$F$1000)-G31))</f>
        <v>0</v>
      </c>
    </row>
    <row r="32" customFormat="false" ht="15" hidden="false" customHeight="true" outlineLevel="0" collapsed="false">
      <c r="A32" s="21" t="n">
        <v>2026</v>
      </c>
      <c r="B32" s="21" t="s">
        <v>16</v>
      </c>
      <c r="C32" s="21" t="n">
        <v>3</v>
      </c>
      <c r="D32" s="21" t="s">
        <v>68</v>
      </c>
      <c r="E32" s="21" t="s">
        <v>45</v>
      </c>
      <c r="F32" s="22" t="n">
        <v>1784.76</v>
      </c>
      <c r="G32" s="22" t="n">
        <v>50</v>
      </c>
      <c r="H32" s="22" t="n">
        <f aca="false">IF(D32&lt;&gt;"Investimento","",IF(SUMPRODUCT(MAX(($E$2:$E$1000=E32)*(($A$2:$A$1000*100+$C$2:$C$1000)&lt;(A32*100+C32))*($A$2:$A$1000*100+$C$2:$C$1000)))=0,"",F32-SUMPRODUCT(($E$2:$E$1000=E32)*(($A$2:$A$1000*100+$C$2:$C$1000)=SUMPRODUCT(MAX(($E$2:$E$1000=E32)*(($A$2:$A$1000*100+$C$2:$C$1000)&lt;(A32*100+C32))*($A$2:$A$1000*100+$C$2:$C$1000))))*$F$2:$F$1000)-G32))</f>
        <v>-31.24</v>
      </c>
    </row>
    <row r="33" customFormat="false" ht="15" hidden="false" customHeight="true" outlineLevel="0" collapsed="false">
      <c r="A33" s="21" t="n">
        <v>2026</v>
      </c>
      <c r="B33" s="21" t="s">
        <v>16</v>
      </c>
      <c r="C33" s="21" t="n">
        <v>3</v>
      </c>
      <c r="D33" s="21" t="s">
        <v>68</v>
      </c>
      <c r="E33" s="21" t="s">
        <v>46</v>
      </c>
      <c r="F33" s="22" t="n">
        <v>266.57</v>
      </c>
      <c r="G33" s="22" t="n">
        <v>20</v>
      </c>
      <c r="H33" s="22" t="n">
        <f aca="false">IF(D33&lt;&gt;"Investimento","",IF(SUMPRODUCT(MAX(($E$2:$E$1000=E33)*(($A$2:$A$1000*100+$C$2:$C$1000)&lt;(A33*100+C33))*($A$2:$A$1000*100+$C$2:$C$1000)))=0,"",F33-SUMPRODUCT(($E$2:$E$1000=E33)*(($A$2:$A$1000*100+$C$2:$C$1000)=SUMPRODUCT(MAX(($E$2:$E$1000=E33)*(($A$2:$A$1000*100+$C$2:$C$1000)&lt;(A33*100+C33))*($A$2:$A$1000*100+$C$2:$C$1000))))*$F$2:$F$1000)-G33))</f>
        <v>0.289999999999992</v>
      </c>
    </row>
    <row r="34" customFormat="false" ht="15" hidden="false" customHeight="true" outlineLevel="0" collapsed="false">
      <c r="A34" s="21" t="n">
        <v>2026</v>
      </c>
      <c r="B34" s="21" t="s">
        <v>16</v>
      </c>
      <c r="C34" s="21" t="n">
        <v>3</v>
      </c>
      <c r="D34" s="21" t="s">
        <v>68</v>
      </c>
      <c r="E34" s="21" t="s">
        <v>47</v>
      </c>
      <c r="F34" s="22" t="n">
        <v>17053.07</v>
      </c>
      <c r="G34" s="22" t="n">
        <v>0</v>
      </c>
      <c r="H34" s="22" t="n">
        <f aca="false">IF(D34&lt;&gt;"Investimento","",IF(SUMPRODUCT(MAX(($E$2:$E$1000=E34)*(($A$2:$A$1000*100+$C$2:$C$1000)&lt;(A34*100+C34))*($A$2:$A$1000*100+$C$2:$C$1000)))=0,"",F34-SUMPRODUCT(($E$2:$E$1000=E34)*(($A$2:$A$1000*100+$C$2:$C$1000)=SUMPRODUCT(MAX(($E$2:$E$1000=E34)*(($A$2:$A$1000*100+$C$2:$C$1000)&lt;(A34*100+C34))*($A$2:$A$1000*100+$C$2:$C$1000))))*$F$2:$F$1000)-G34))</f>
        <v>-1938.66</v>
      </c>
    </row>
    <row r="35" customFormat="false" ht="15" hidden="false" customHeight="true" outlineLevel="0" collapsed="false">
      <c r="A35" s="21" t="n">
        <v>2026</v>
      </c>
      <c r="B35" s="21" t="s">
        <v>16</v>
      </c>
      <c r="C35" s="21" t="n">
        <v>3</v>
      </c>
      <c r="D35" s="21" t="s">
        <v>68</v>
      </c>
      <c r="E35" s="21" t="s">
        <v>48</v>
      </c>
      <c r="F35" s="22" t="n">
        <v>203.32</v>
      </c>
      <c r="G35" s="22" t="n">
        <v>0</v>
      </c>
      <c r="H35" s="22" t="n">
        <f aca="false">IF(D35&lt;&gt;"Investimento","",IF(SUMPRODUCT(MAX(($E$2:$E$1000=E35)*(($A$2:$A$1000*100+$C$2:$C$1000)&lt;(A35*100+C35))*($A$2:$A$1000*100+$C$2:$C$1000)))=0,"",F35-SUMPRODUCT(($E$2:$E$1000=E35)*(($A$2:$A$1000*100+$C$2:$C$1000)=SUMPRODUCT(MAX(($E$2:$E$1000=E35)*(($A$2:$A$1000*100+$C$2:$C$1000)&lt;(A35*100+C35))*($A$2:$A$1000*100+$C$2:$C$1000))))*$F$2:$F$1000)-G35))</f>
        <v>-9.74000000000001</v>
      </c>
    </row>
    <row r="36" customFormat="false" ht="15" hidden="false" customHeight="true" outlineLevel="0" collapsed="false">
      <c r="A36" s="23" t="n">
        <v>2026</v>
      </c>
      <c r="B36" s="23" t="s">
        <v>16</v>
      </c>
      <c r="C36" s="23" t="n">
        <v>3</v>
      </c>
      <c r="D36" s="23" t="s">
        <v>12</v>
      </c>
      <c r="E36" s="23" t="s">
        <v>4</v>
      </c>
      <c r="F36" s="25" t="n">
        <v>330</v>
      </c>
      <c r="G36" s="23"/>
      <c r="H36" s="25" t="str">
        <f aca="false">IF(D36&lt;&gt;"Investimento","",IF(SUMPRODUCT(MAX(($E$2:$E$1000=E36)*(($A$2:$A$1000*100+$C$2:$C$1000)&lt;(A36*100+C36))*($A$2:$A$1000*100+$C$2:$C$1000)))=0,"",F36-SUMPRODUCT(($E$2:$E$1000=E36)*(($A$2:$A$1000*100+$C$2:$C$1000)=SUMPRODUCT(MAX(($E$2:$E$1000=E36)*(($A$2:$A$1000*100+$C$2:$C$1000)&lt;(A36*100+C36))*($A$2:$A$1000*100+$C$2:$C$1000))))*$F$2:$F$1000)-G36))</f>
        <v/>
      </c>
    </row>
    <row r="37" customFormat="false" ht="15" hidden="false" customHeight="true" outlineLevel="0" collapsed="false">
      <c r="A37" s="26" t="n">
        <v>2026</v>
      </c>
      <c r="B37" s="26" t="s">
        <v>16</v>
      </c>
      <c r="C37" s="26" t="n">
        <v>3</v>
      </c>
      <c r="D37" s="26" t="s">
        <v>69</v>
      </c>
      <c r="E37" s="26" t="s">
        <v>70</v>
      </c>
      <c r="F37" s="28" t="n">
        <v>31</v>
      </c>
      <c r="G37" s="26"/>
      <c r="H37" s="28" t="str">
        <f aca="false">IF(D37&lt;&gt;"Investimento","",IF(SUMPRODUCT(MAX(($E$2:$E$1000=E37)*(($A$2:$A$1000*100+$C$2:$C$1000)&lt;(A37*100+C37))*($A$2:$A$1000*100+$C$2:$C$1000)))=0,"",F37-SUMPRODUCT(($E$2:$E$1000=E37)*(($A$2:$A$1000*100+$C$2:$C$1000)=SUMPRODUCT(MAX(($E$2:$E$1000=E37)*(($A$2:$A$1000*100+$C$2:$C$1000)&lt;(A37*100+C37))*($A$2:$A$1000*100+$C$2:$C$1000))))*$F$2:$F$1000)-G37))</f>
        <v/>
      </c>
    </row>
    <row r="38" customFormat="false" ht="15" hidden="false" customHeight="true" outlineLevel="0" collapsed="false">
      <c r="A38" s="17" t="n">
        <v>2026</v>
      </c>
      <c r="B38" s="17" t="s">
        <v>17</v>
      </c>
      <c r="C38" s="17" t="n">
        <v>4</v>
      </c>
      <c r="D38" s="17" t="s">
        <v>3</v>
      </c>
      <c r="E38" s="17" t="s">
        <v>3</v>
      </c>
      <c r="F38" s="20" t="n">
        <v>2561.59</v>
      </c>
      <c r="G38" s="17"/>
      <c r="H38" s="20" t="str">
        <f aca="false">IF(D38&lt;&gt;"Investimento","",IF(SUMPRODUCT(MAX(($E$2:$E$1000=E38)*(($A$2:$A$1000*100+$C$2:$C$1000)&lt;(A38*100+C38))*($A$2:$A$1000*100+$C$2:$C$1000)))=0,"",F38-SUMPRODUCT(($E$2:$E$1000=E38)*(($A$2:$A$1000*100+$C$2:$C$1000)=SUMPRODUCT(MAX(($E$2:$E$1000=E38)*(($A$2:$A$1000*100+$C$2:$C$1000)&lt;(A38*100+C38))*($A$2:$A$1000*100+$C$2:$C$1000))))*$F$2:$F$1000)-G38))</f>
        <v/>
      </c>
    </row>
    <row r="39" customFormat="false" ht="15" hidden="false" customHeight="true" outlineLevel="0" collapsed="false">
      <c r="A39" s="21" t="n">
        <v>2026</v>
      </c>
      <c r="B39" s="21" t="s">
        <v>17</v>
      </c>
      <c r="C39" s="21" t="n">
        <v>4</v>
      </c>
      <c r="D39" s="21" t="s">
        <v>68</v>
      </c>
      <c r="E39" s="21" t="s">
        <v>40</v>
      </c>
      <c r="F39" s="22" t="n">
        <v>100</v>
      </c>
      <c r="G39" s="22" t="n">
        <v>0</v>
      </c>
      <c r="H39" s="22" t="n">
        <f aca="false">IF(D39&lt;&gt;"Investimento","",IF(SUMPRODUCT(MAX(($E$2:$E$1000=E39)*(($A$2:$A$1000*100+$C$2:$C$1000)&lt;(A39*100+C39))*($A$2:$A$1000*100+$C$2:$C$1000)))=0,"",F39-SUMPRODUCT(($E$2:$E$1000=E39)*(($A$2:$A$1000*100+$C$2:$C$1000)=SUMPRODUCT(MAX(($E$2:$E$1000=E39)*(($A$2:$A$1000*100+$C$2:$C$1000)&lt;(A39*100+C39))*($A$2:$A$1000*100+$C$2:$C$1000))))*$F$2:$F$1000)-G39))</f>
        <v>0</v>
      </c>
    </row>
    <row r="40" customFormat="false" ht="15" hidden="false" customHeight="true" outlineLevel="0" collapsed="false">
      <c r="A40" s="21" t="n">
        <v>2026</v>
      </c>
      <c r="B40" s="21" t="s">
        <v>17</v>
      </c>
      <c r="C40" s="21" t="n">
        <v>4</v>
      </c>
      <c r="D40" s="21" t="s">
        <v>68</v>
      </c>
      <c r="E40" s="21" t="s">
        <v>41</v>
      </c>
      <c r="F40" s="22" t="n">
        <v>6479.54</v>
      </c>
      <c r="G40" s="22" t="n">
        <v>62</v>
      </c>
      <c r="H40" s="22" t="n">
        <f aca="false">IF(D40&lt;&gt;"Investimento","",IF(SUMPRODUCT(MAX(($E$2:$E$1000=E40)*(($A$2:$A$1000*100+$C$2:$C$1000)&lt;(A40*100+C40))*($A$2:$A$1000*100+$C$2:$C$1000)))=0,"",F40-SUMPRODUCT(($E$2:$E$1000=E40)*(($A$2:$A$1000*100+$C$2:$C$1000)=SUMPRODUCT(MAX(($E$2:$E$1000=E40)*(($A$2:$A$1000*100+$C$2:$C$1000)&lt;(A40*100+C40))*($A$2:$A$1000*100+$C$2:$C$1000))))*$F$2:$F$1000)-G40))</f>
        <v>30.8100000000004</v>
      </c>
    </row>
    <row r="41" customFormat="false" ht="15" hidden="false" customHeight="true" outlineLevel="0" collapsed="false">
      <c r="A41" s="21" t="n">
        <v>2026</v>
      </c>
      <c r="B41" s="21" t="s">
        <v>17</v>
      </c>
      <c r="C41" s="21" t="n">
        <v>4</v>
      </c>
      <c r="D41" s="21" t="s">
        <v>68</v>
      </c>
      <c r="E41" s="21" t="s">
        <v>42</v>
      </c>
      <c r="F41" s="22" t="n">
        <v>2189.55</v>
      </c>
      <c r="G41" s="22" t="n">
        <v>50</v>
      </c>
      <c r="H41" s="22" t="n">
        <f aca="false">IF(D41&lt;&gt;"Investimento","",IF(SUMPRODUCT(MAX(($E$2:$E$1000=E41)*(($A$2:$A$1000*100+$C$2:$C$1000)&lt;(A41*100+C41))*($A$2:$A$1000*100+$C$2:$C$1000)))=0,"",F41-SUMPRODUCT(($E$2:$E$1000=E41)*(($A$2:$A$1000*100+$C$2:$C$1000)=SUMPRODUCT(MAX(($E$2:$E$1000=E41)*(($A$2:$A$1000*100+$C$2:$C$1000)&lt;(A41*100+C41))*($A$2:$A$1000*100+$C$2:$C$1000))))*$F$2:$F$1000)-G41))</f>
        <v>168.28</v>
      </c>
    </row>
    <row r="42" customFormat="false" ht="15" hidden="false" customHeight="true" outlineLevel="0" collapsed="false">
      <c r="A42" s="21" t="n">
        <v>2026</v>
      </c>
      <c r="B42" s="21" t="s">
        <v>17</v>
      </c>
      <c r="C42" s="21" t="n">
        <v>4</v>
      </c>
      <c r="D42" s="21" t="s">
        <v>68</v>
      </c>
      <c r="E42" s="21" t="s">
        <v>43</v>
      </c>
      <c r="F42" s="22" t="n">
        <v>2659.51</v>
      </c>
      <c r="G42" s="22" t="n">
        <v>50</v>
      </c>
      <c r="H42" s="22" t="n">
        <f aca="false">IF(D42&lt;&gt;"Investimento","",IF(SUMPRODUCT(MAX(($E$2:$E$1000=E42)*(($A$2:$A$1000*100+$C$2:$C$1000)&lt;(A42*100+C42))*($A$2:$A$1000*100+$C$2:$C$1000)))=0,"",F42-SUMPRODUCT(($E$2:$E$1000=E42)*(($A$2:$A$1000*100+$C$2:$C$1000)=SUMPRODUCT(MAX(($E$2:$E$1000=E42)*(($A$2:$A$1000*100+$C$2:$C$1000)&lt;(A42*100+C42))*($A$2:$A$1000*100+$C$2:$C$1000))))*$F$2:$F$1000)-G42))</f>
        <v>104.8</v>
      </c>
    </row>
    <row r="43" customFormat="false" ht="15" hidden="false" customHeight="true" outlineLevel="0" collapsed="false">
      <c r="A43" s="21" t="n">
        <v>2026</v>
      </c>
      <c r="B43" s="21" t="s">
        <v>17</v>
      </c>
      <c r="C43" s="21" t="n">
        <v>4</v>
      </c>
      <c r="D43" s="21" t="s">
        <v>68</v>
      </c>
      <c r="E43" s="21" t="s">
        <v>44</v>
      </c>
      <c r="F43" s="22" t="n">
        <v>2724.75</v>
      </c>
      <c r="G43" s="22" t="n">
        <v>0</v>
      </c>
      <c r="H43" s="22" t="n">
        <f aca="false">IF(D43&lt;&gt;"Investimento","",IF(SUMPRODUCT(MAX(($E$2:$E$1000=E43)*(($A$2:$A$1000*100+$C$2:$C$1000)&lt;(A43*100+C43))*($A$2:$A$1000*100+$C$2:$C$1000)))=0,"",F43-SUMPRODUCT(($E$2:$E$1000=E43)*(($A$2:$A$1000*100+$C$2:$C$1000)=SUMPRODUCT(MAX(($E$2:$E$1000=E43)*(($A$2:$A$1000*100+$C$2:$C$1000)&lt;(A43*100+C43))*($A$2:$A$1000*100+$C$2:$C$1000))))*$F$2:$F$1000)-G43))</f>
        <v>17.3200000000002</v>
      </c>
    </row>
    <row r="44" customFormat="false" ht="15" hidden="false" customHeight="true" outlineLevel="0" collapsed="false">
      <c r="A44" s="21" t="n">
        <v>2026</v>
      </c>
      <c r="B44" s="21" t="s">
        <v>17</v>
      </c>
      <c r="C44" s="21" t="n">
        <v>4</v>
      </c>
      <c r="D44" s="21" t="s">
        <v>68</v>
      </c>
      <c r="E44" s="21" t="s">
        <v>45</v>
      </c>
      <c r="F44" s="22" t="n">
        <v>1846.5</v>
      </c>
      <c r="G44" s="22" t="n">
        <v>50</v>
      </c>
      <c r="H44" s="22" t="n">
        <f aca="false">IF(D44&lt;&gt;"Investimento","",IF(SUMPRODUCT(MAX(($E$2:$E$1000=E44)*(($A$2:$A$1000*100+$C$2:$C$1000)&lt;(A44*100+C44))*($A$2:$A$1000*100+$C$2:$C$1000)))=0,"",F44-SUMPRODUCT(($E$2:$E$1000=E44)*(($A$2:$A$1000*100+$C$2:$C$1000)=SUMPRODUCT(MAX(($E$2:$E$1000=E44)*(($A$2:$A$1000*100+$C$2:$C$1000)&lt;(A44*100+C44))*($A$2:$A$1000*100+$C$2:$C$1000))))*$F$2:$F$1000)-G44))</f>
        <v>11.74</v>
      </c>
    </row>
    <row r="45" customFormat="false" ht="15" hidden="false" customHeight="true" outlineLevel="0" collapsed="false">
      <c r="A45" s="21" t="n">
        <v>2026</v>
      </c>
      <c r="B45" s="21" t="s">
        <v>17</v>
      </c>
      <c r="C45" s="21" t="n">
        <v>4</v>
      </c>
      <c r="D45" s="21" t="s">
        <v>68</v>
      </c>
      <c r="E45" s="21" t="s">
        <v>46</v>
      </c>
      <c r="F45" s="22" t="n">
        <v>287</v>
      </c>
      <c r="G45" s="22" t="n">
        <v>20</v>
      </c>
      <c r="H45" s="22" t="n">
        <f aca="false">IF(D45&lt;&gt;"Investimento","",IF(SUMPRODUCT(MAX(($E$2:$E$1000=E45)*(($A$2:$A$1000*100+$C$2:$C$1000)&lt;(A45*100+C45))*($A$2:$A$1000*100+$C$2:$C$1000)))=0,"",F45-SUMPRODUCT(($E$2:$E$1000=E45)*(($A$2:$A$1000*100+$C$2:$C$1000)=SUMPRODUCT(MAX(($E$2:$E$1000=E45)*(($A$2:$A$1000*100+$C$2:$C$1000)&lt;(A45*100+C45))*($A$2:$A$1000*100+$C$2:$C$1000))))*$F$2:$F$1000)-G45))</f>
        <v>0.430000000000007</v>
      </c>
    </row>
    <row r="46" customFormat="false" ht="15" hidden="false" customHeight="true" outlineLevel="0" collapsed="false">
      <c r="A46" s="21" t="n">
        <v>2026</v>
      </c>
      <c r="B46" s="21" t="s">
        <v>17</v>
      </c>
      <c r="C46" s="21" t="n">
        <v>4</v>
      </c>
      <c r="D46" s="21" t="s">
        <v>68</v>
      </c>
      <c r="E46" s="21" t="s">
        <v>47</v>
      </c>
      <c r="F46" s="22" t="n">
        <v>18081.26</v>
      </c>
      <c r="G46" s="22" t="n">
        <v>1000</v>
      </c>
      <c r="H46" s="22" t="n">
        <f aca="false">IF(D46&lt;&gt;"Investimento","",IF(SUMPRODUCT(MAX(($E$2:$E$1000=E46)*(($A$2:$A$1000*100+$C$2:$C$1000)&lt;(A46*100+C46))*($A$2:$A$1000*100+$C$2:$C$1000)))=0,"",F46-SUMPRODUCT(($E$2:$E$1000=E46)*(($A$2:$A$1000*100+$C$2:$C$1000)=SUMPRODUCT(MAX(($E$2:$E$1000=E46)*(($A$2:$A$1000*100+$C$2:$C$1000)&lt;(A46*100+C46))*($A$2:$A$1000*100+$C$2:$C$1000))))*$F$2:$F$1000)-G46))</f>
        <v>28.1899999999987</v>
      </c>
    </row>
    <row r="47" customFormat="false" ht="15" hidden="false" customHeight="true" outlineLevel="0" collapsed="false">
      <c r="A47" s="21" t="n">
        <v>2026</v>
      </c>
      <c r="B47" s="21" t="s">
        <v>17</v>
      </c>
      <c r="C47" s="21" t="n">
        <v>4</v>
      </c>
      <c r="D47" s="21" t="s">
        <v>68</v>
      </c>
      <c r="E47" s="21" t="s">
        <v>48</v>
      </c>
      <c r="F47" s="22" t="n">
        <v>262.41</v>
      </c>
      <c r="G47" s="22" t="n">
        <v>50</v>
      </c>
      <c r="H47" s="22" t="n">
        <f aca="false">IF(D47&lt;&gt;"Investimento","",IF(SUMPRODUCT(MAX(($E$2:$E$1000=E47)*(($A$2:$A$1000*100+$C$2:$C$1000)&lt;(A47*100+C47))*($A$2:$A$1000*100+$C$2:$C$1000)))=0,"",F47-SUMPRODUCT(($E$2:$E$1000=E47)*(($A$2:$A$1000*100+$C$2:$C$1000)=SUMPRODUCT(MAX(($E$2:$E$1000=E47)*(($A$2:$A$1000*100+$C$2:$C$1000)&lt;(A47*100+C47))*($A$2:$A$1000*100+$C$2:$C$1000))))*$F$2:$F$1000)-G47))</f>
        <v>9.09000000000003</v>
      </c>
    </row>
    <row r="48" customFormat="false" ht="15" hidden="false" customHeight="true" outlineLevel="0" collapsed="false">
      <c r="A48" s="23" t="n">
        <v>2026</v>
      </c>
      <c r="B48" s="23" t="s">
        <v>17</v>
      </c>
      <c r="C48" s="23" t="n">
        <v>4</v>
      </c>
      <c r="D48" s="23" t="s">
        <v>12</v>
      </c>
      <c r="E48" s="23" t="s">
        <v>4</v>
      </c>
      <c r="F48" s="25" t="n">
        <v>90</v>
      </c>
      <c r="G48" s="23"/>
      <c r="H48" s="25" t="str">
        <f aca="false">IF(D48&lt;&gt;"Investimento","",IF(SUMPRODUCT(MAX(($E$2:$E$1000=E48)*(($A$2:$A$1000*100+$C$2:$C$1000)&lt;(A48*100+C48))*($A$2:$A$1000*100+$C$2:$C$1000)))=0,"",F48-SUMPRODUCT(($E$2:$E$1000=E48)*(($A$2:$A$1000*100+$C$2:$C$1000)=SUMPRODUCT(MAX(($E$2:$E$1000=E48)*(($A$2:$A$1000*100+$C$2:$C$1000)&lt;(A48*100+C48))*($A$2:$A$1000*100+$C$2:$C$1000))))*$F$2:$F$1000)-G48))</f>
        <v/>
      </c>
    </row>
    <row r="49" customFormat="false" ht="15" hidden="false" customHeight="true" outlineLevel="0" collapsed="false">
      <c r="A49" s="26" t="n">
        <v>2026</v>
      </c>
      <c r="B49" s="26" t="s">
        <v>17</v>
      </c>
      <c r="C49" s="26" t="n">
        <v>4</v>
      </c>
      <c r="D49" s="26" t="s">
        <v>69</v>
      </c>
      <c r="E49" s="26" t="s">
        <v>70</v>
      </c>
      <c r="F49" s="28" t="n">
        <v>35</v>
      </c>
      <c r="G49" s="26"/>
      <c r="H49" s="28" t="str">
        <f aca="false">IF(D49&lt;&gt;"Investimento","",IF(SUMPRODUCT(MAX(($E$2:$E$1000=E49)*(($A$2:$A$1000*100+$C$2:$C$1000)&lt;(A49*100+C49))*($A$2:$A$1000*100+$C$2:$C$1000)))=0,"",F49-SUMPRODUCT(($E$2:$E$1000=E49)*(($A$2:$A$1000*100+$C$2:$C$1000)=SUMPRODUCT(MAX(($E$2:$E$1000=E49)*(($A$2:$A$1000*100+$C$2:$C$1000)&lt;(A49*100+C49))*($A$2:$A$1000*100+$C$2:$C$1000))))*$F$2:$F$1000)-G49))</f>
        <v/>
      </c>
    </row>
    <row r="50" customFormat="false" ht="15" hidden="false" customHeight="true" outlineLevel="0" collapsed="false">
      <c r="A50" s="17" t="n">
        <v>2026</v>
      </c>
      <c r="B50" s="17" t="s">
        <v>18</v>
      </c>
      <c r="C50" s="17" t="n">
        <v>5</v>
      </c>
      <c r="D50" s="17" t="s">
        <v>3</v>
      </c>
      <c r="E50" s="17" t="s">
        <v>3</v>
      </c>
      <c r="F50" s="20" t="n">
        <v>1786.89</v>
      </c>
      <c r="G50" s="17"/>
      <c r="H50" s="20" t="str">
        <f aca="false">IF(D50&lt;&gt;"Investimento","",IF(SUMPRODUCT(MAX(($E$2:$E$1000=E50)*(($A$2:$A$1000*100+$C$2:$C$1000)&lt;(A50*100+C50))*($A$2:$A$1000*100+$C$2:$C$1000)))=0,"",F50-SUMPRODUCT(($E$2:$E$1000=E50)*(($A$2:$A$1000*100+$C$2:$C$1000)=SUMPRODUCT(MAX(($E$2:$E$1000=E50)*(($A$2:$A$1000*100+$C$2:$C$1000)&lt;(A50*100+C50))*($A$2:$A$1000*100+$C$2:$C$1000))))*$F$2:$F$1000)-G50))</f>
        <v/>
      </c>
    </row>
    <row r="51" customFormat="false" ht="15" hidden="false" customHeight="true" outlineLevel="0" collapsed="false">
      <c r="A51" s="21" t="n">
        <v>2026</v>
      </c>
      <c r="B51" s="21" t="s">
        <v>18</v>
      </c>
      <c r="C51" s="21" t="n">
        <v>5</v>
      </c>
      <c r="D51" s="21" t="s">
        <v>68</v>
      </c>
      <c r="E51" s="21" t="s">
        <v>40</v>
      </c>
      <c r="F51" s="22" t="n">
        <v>100</v>
      </c>
      <c r="G51" s="22" t="n">
        <v>0</v>
      </c>
      <c r="H51" s="22" t="n">
        <f aca="false">IF(D51&lt;&gt;"Investimento","",IF(SUMPRODUCT(MAX(($E$2:$E$1000=E51)*(($A$2:$A$1000*100+$C$2:$C$1000)&lt;(A51*100+C51))*($A$2:$A$1000*100+$C$2:$C$1000)))=0,"",F51-SUMPRODUCT(($E$2:$E$1000=E51)*(($A$2:$A$1000*100+$C$2:$C$1000)=SUMPRODUCT(MAX(($E$2:$E$1000=E51)*(($A$2:$A$1000*100+$C$2:$C$1000)&lt;(A51*100+C51))*($A$2:$A$1000*100+$C$2:$C$1000))))*$F$2:$F$1000)-G51))</f>
        <v>0</v>
      </c>
    </row>
    <row r="52" customFormat="false" ht="15" hidden="false" customHeight="true" outlineLevel="0" collapsed="false">
      <c r="A52" s="21" t="n">
        <v>2026</v>
      </c>
      <c r="B52" s="21" t="s">
        <v>18</v>
      </c>
      <c r="C52" s="21" t="n">
        <v>5</v>
      </c>
      <c r="D52" s="21" t="s">
        <v>68</v>
      </c>
      <c r="E52" s="21" t="s">
        <v>41</v>
      </c>
      <c r="F52" s="22" t="n">
        <v>6611.92</v>
      </c>
      <c r="G52" s="22" t="n">
        <v>100</v>
      </c>
      <c r="H52" s="22" t="n">
        <f aca="false">IF(D52&lt;&gt;"Investimento","",IF(SUMPRODUCT(MAX(($E$2:$E$1000=E52)*(($A$2:$A$1000*100+$C$2:$C$1000)&lt;(A52*100+C52))*($A$2:$A$1000*100+$C$2:$C$1000)))=0,"",F52-SUMPRODUCT(($E$2:$E$1000=E52)*(($A$2:$A$1000*100+$C$2:$C$1000)=SUMPRODUCT(MAX(($E$2:$E$1000=E52)*(($A$2:$A$1000*100+$C$2:$C$1000)&lt;(A52*100+C52))*($A$2:$A$1000*100+$C$2:$C$1000))))*$F$2:$F$1000)-G52))</f>
        <v>32.3800000000001</v>
      </c>
    </row>
    <row r="53" customFormat="false" ht="15" hidden="false" customHeight="true" outlineLevel="0" collapsed="false">
      <c r="A53" s="21" t="n">
        <v>2026</v>
      </c>
      <c r="B53" s="21" t="s">
        <v>18</v>
      </c>
      <c r="C53" s="21" t="n">
        <v>5</v>
      </c>
      <c r="D53" s="21" t="s">
        <v>68</v>
      </c>
      <c r="E53" s="21" t="s">
        <v>42</v>
      </c>
      <c r="F53" s="22" t="n">
        <v>2274</v>
      </c>
      <c r="G53" s="22" t="n">
        <v>50</v>
      </c>
      <c r="H53" s="22" t="n">
        <f aca="false">IF(D53&lt;&gt;"Investimento","",IF(SUMPRODUCT(MAX(($E$2:$E$1000=E53)*(($A$2:$A$1000*100+$C$2:$C$1000)&lt;(A53*100+C53))*($A$2:$A$1000*100+$C$2:$C$1000)))=0,"",F53-SUMPRODUCT(($E$2:$E$1000=E53)*(($A$2:$A$1000*100+$C$2:$C$1000)=SUMPRODUCT(MAX(($E$2:$E$1000=E53)*(($A$2:$A$1000*100+$C$2:$C$1000)&lt;(A53*100+C53))*($A$2:$A$1000*100+$C$2:$C$1000))))*$F$2:$F$1000)-G53))</f>
        <v>34.4499999999998</v>
      </c>
    </row>
    <row r="54" customFormat="false" ht="15" hidden="false" customHeight="true" outlineLevel="0" collapsed="false">
      <c r="A54" s="21" t="n">
        <v>2026</v>
      </c>
      <c r="B54" s="21" t="s">
        <v>18</v>
      </c>
      <c r="C54" s="21" t="n">
        <v>5</v>
      </c>
      <c r="D54" s="21" t="s">
        <v>68</v>
      </c>
      <c r="E54" s="21" t="s">
        <v>43</v>
      </c>
      <c r="F54" s="22" t="n">
        <v>2778.22</v>
      </c>
      <c r="G54" s="22" t="n">
        <v>50</v>
      </c>
      <c r="H54" s="22" t="n">
        <f aca="false">IF(D54&lt;&gt;"Investimento","",IF(SUMPRODUCT(MAX(($E$2:$E$1000=E54)*(($A$2:$A$1000*100+$C$2:$C$1000)&lt;(A54*100+C54))*($A$2:$A$1000*100+$C$2:$C$1000)))=0,"",F54-SUMPRODUCT(($E$2:$E$1000=E54)*(($A$2:$A$1000*100+$C$2:$C$1000)=SUMPRODUCT(MAX(($E$2:$E$1000=E54)*(($A$2:$A$1000*100+$C$2:$C$1000)&lt;(A54*100+C54))*($A$2:$A$1000*100+$C$2:$C$1000))))*$F$2:$F$1000)-G54))</f>
        <v>68.7099999999996</v>
      </c>
    </row>
    <row r="55" customFormat="false" ht="15" hidden="false" customHeight="true" outlineLevel="0" collapsed="false">
      <c r="A55" s="21" t="n">
        <v>2026</v>
      </c>
      <c r="B55" s="21" t="s">
        <v>18</v>
      </c>
      <c r="C55" s="21" t="n">
        <v>5</v>
      </c>
      <c r="D55" s="21" t="s">
        <v>68</v>
      </c>
      <c r="E55" s="21" t="s">
        <v>44</v>
      </c>
      <c r="F55" s="22" t="n">
        <v>2724.75</v>
      </c>
      <c r="G55" s="22" t="n">
        <v>0</v>
      </c>
      <c r="H55" s="22" t="n">
        <f aca="false">IF(D55&lt;&gt;"Investimento","",IF(SUMPRODUCT(MAX(($E$2:$E$1000=E55)*(($A$2:$A$1000*100+$C$2:$C$1000)&lt;(A55*100+C55))*($A$2:$A$1000*100+$C$2:$C$1000)))=0,"",F55-SUMPRODUCT(($E$2:$E$1000=E55)*(($A$2:$A$1000*100+$C$2:$C$1000)=SUMPRODUCT(MAX(($E$2:$E$1000=E55)*(($A$2:$A$1000*100+$C$2:$C$1000)&lt;(A55*100+C55))*($A$2:$A$1000*100+$C$2:$C$1000))))*$F$2:$F$1000)-G55))</f>
        <v>0</v>
      </c>
    </row>
    <row r="56" customFormat="false" ht="15" hidden="false" customHeight="true" outlineLevel="0" collapsed="false">
      <c r="A56" s="21" t="n">
        <v>2026</v>
      </c>
      <c r="B56" s="21" t="s">
        <v>18</v>
      </c>
      <c r="C56" s="21" t="n">
        <v>5</v>
      </c>
      <c r="D56" s="21" t="s">
        <v>68</v>
      </c>
      <c r="E56" s="21" t="s">
        <v>45</v>
      </c>
      <c r="F56" s="22" t="n">
        <v>1909.28</v>
      </c>
      <c r="G56" s="22" t="n">
        <v>50</v>
      </c>
      <c r="H56" s="22" t="n">
        <f aca="false">IF(D56&lt;&gt;"Investimento","",IF(SUMPRODUCT(MAX(($E$2:$E$1000=E56)*(($A$2:$A$1000*100+$C$2:$C$1000)&lt;(A56*100+C56))*($A$2:$A$1000*100+$C$2:$C$1000)))=0,"",F56-SUMPRODUCT(($E$2:$E$1000=E56)*(($A$2:$A$1000*100+$C$2:$C$1000)=SUMPRODUCT(MAX(($E$2:$E$1000=E56)*(($A$2:$A$1000*100+$C$2:$C$1000)&lt;(A56*100+C56))*($A$2:$A$1000*100+$C$2:$C$1000))))*$F$2:$F$1000)-G56))</f>
        <v>12.78</v>
      </c>
    </row>
    <row r="57" customFormat="false" ht="15" hidden="false" customHeight="true" outlineLevel="0" collapsed="false">
      <c r="A57" s="21" t="n">
        <v>2026</v>
      </c>
      <c r="B57" s="21" t="s">
        <v>18</v>
      </c>
      <c r="C57" s="21" t="n">
        <v>5</v>
      </c>
      <c r="D57" s="21" t="s">
        <v>68</v>
      </c>
      <c r="E57" s="21" t="s">
        <v>46</v>
      </c>
      <c r="F57" s="22" t="n">
        <v>312</v>
      </c>
      <c r="G57" s="22" t="n">
        <v>0</v>
      </c>
      <c r="H57" s="22" t="n">
        <f aca="false">IF(D57&lt;&gt;"Investimento","",IF(SUMPRODUCT(MAX(($E$2:$E$1000=E57)*(($A$2:$A$1000*100+$C$2:$C$1000)&lt;(A57*100+C57))*($A$2:$A$1000*100+$C$2:$C$1000)))=0,"",F57-SUMPRODUCT(($E$2:$E$1000=E57)*(($A$2:$A$1000*100+$C$2:$C$1000)=SUMPRODUCT(MAX(($E$2:$E$1000=E57)*(($A$2:$A$1000*100+$C$2:$C$1000)&lt;(A57*100+C57))*($A$2:$A$1000*100+$C$2:$C$1000))))*$F$2:$F$1000)-G57))</f>
        <v>25</v>
      </c>
    </row>
    <row r="58" customFormat="false" ht="15" hidden="false" customHeight="true" outlineLevel="0" collapsed="false">
      <c r="A58" s="21" t="n">
        <v>2026</v>
      </c>
      <c r="B58" s="21" t="s">
        <v>18</v>
      </c>
      <c r="C58" s="21" t="n">
        <v>5</v>
      </c>
      <c r="D58" s="21" t="s">
        <v>68</v>
      </c>
      <c r="E58" s="21" t="s">
        <v>47</v>
      </c>
      <c r="F58" s="22" t="n">
        <v>19112.77</v>
      </c>
      <c r="G58" s="22" t="n">
        <v>1000</v>
      </c>
      <c r="H58" s="22" t="n">
        <f aca="false">IF(D58&lt;&gt;"Investimento","",IF(SUMPRODUCT(MAX(($E$2:$E$1000=E58)*(($A$2:$A$1000*100+$C$2:$C$1000)&lt;(A58*100+C58))*($A$2:$A$1000*100+$C$2:$C$1000)))=0,"",F58-SUMPRODUCT(($E$2:$E$1000=E58)*(($A$2:$A$1000*100+$C$2:$C$1000)=SUMPRODUCT(MAX(($E$2:$E$1000=E58)*(($A$2:$A$1000*100+$C$2:$C$1000)&lt;(A58*100+C58))*($A$2:$A$1000*100+$C$2:$C$1000))))*$F$2:$F$1000)-G58))</f>
        <v>31.510000000002</v>
      </c>
    </row>
    <row r="59" customFormat="false" ht="15" hidden="false" customHeight="true" outlineLevel="0" collapsed="false">
      <c r="A59" s="21" t="n">
        <v>2026</v>
      </c>
      <c r="B59" s="21" t="s">
        <v>18</v>
      </c>
      <c r="C59" s="21" t="n">
        <v>5</v>
      </c>
      <c r="D59" s="21" t="s">
        <v>68</v>
      </c>
      <c r="E59" s="21" t="s">
        <v>48</v>
      </c>
      <c r="F59" s="22" t="n">
        <v>329.06</v>
      </c>
      <c r="G59" s="22" t="n">
        <v>50</v>
      </c>
      <c r="H59" s="22" t="n">
        <f aca="false">IF(D59&lt;&gt;"Investimento","",IF(SUMPRODUCT(MAX(($E$2:$E$1000=E59)*(($A$2:$A$1000*100+$C$2:$C$1000)&lt;(A59*100+C59))*($A$2:$A$1000*100+$C$2:$C$1000)))=0,"",F59-SUMPRODUCT(($E$2:$E$1000=E59)*(($A$2:$A$1000*100+$C$2:$C$1000)=SUMPRODUCT(MAX(($E$2:$E$1000=E59)*(($A$2:$A$1000*100+$C$2:$C$1000)&lt;(A59*100+C59))*($A$2:$A$1000*100+$C$2:$C$1000))))*$F$2:$F$1000)-G59))</f>
        <v>16.65</v>
      </c>
    </row>
    <row r="60" customFormat="false" ht="15" hidden="false" customHeight="true" outlineLevel="0" collapsed="false">
      <c r="A60" s="23" t="n">
        <v>2026</v>
      </c>
      <c r="B60" s="23" t="s">
        <v>18</v>
      </c>
      <c r="C60" s="23" t="n">
        <v>5</v>
      </c>
      <c r="D60" s="23" t="s">
        <v>12</v>
      </c>
      <c r="E60" s="23" t="s">
        <v>4</v>
      </c>
      <c r="F60" s="25" t="n">
        <v>80</v>
      </c>
      <c r="G60" s="23"/>
      <c r="H60" s="25" t="str">
        <f aca="false">IF(D60&lt;&gt;"Investimento","",IF(SUMPRODUCT(MAX(($E$2:$E$1000=E60)*(($A$2:$A$1000*100+$C$2:$C$1000)&lt;(A60*100+C60))*($A$2:$A$1000*100+$C$2:$C$1000)))=0,"",F60-SUMPRODUCT(($E$2:$E$1000=E60)*(($A$2:$A$1000*100+$C$2:$C$1000)=SUMPRODUCT(MAX(($E$2:$E$1000=E60)*(($A$2:$A$1000*100+$C$2:$C$1000)&lt;(A60*100+C60))*($A$2:$A$1000*100+$C$2:$C$1000))))*$F$2:$F$1000)-G60))</f>
        <v/>
      </c>
    </row>
    <row r="61" customFormat="false" ht="15" hidden="false" customHeight="true" outlineLevel="0" collapsed="false">
      <c r="A61" s="26" t="n">
        <v>2026</v>
      </c>
      <c r="B61" s="26" t="s">
        <v>18</v>
      </c>
      <c r="C61" s="26" t="n">
        <v>5</v>
      </c>
      <c r="D61" s="26" t="s">
        <v>69</v>
      </c>
      <c r="E61" s="26" t="s">
        <v>70</v>
      </c>
      <c r="F61" s="28" t="n">
        <v>33</v>
      </c>
      <c r="G61" s="26"/>
      <c r="H61" s="28" t="str">
        <f aca="false">IF(D61&lt;&gt;"Investimento","",IF(SUMPRODUCT(MAX(($E$2:$E$1000=E61)*(($A$2:$A$1000*100+$C$2:$C$1000)&lt;(A61*100+C61))*($A$2:$A$1000*100+$C$2:$C$1000)))=0,"",F61-SUMPRODUCT(($E$2:$E$1000=E61)*(($A$2:$A$1000*100+$C$2:$C$1000)=SUMPRODUCT(MAX(($E$2:$E$1000=E61)*(($A$2:$A$1000*100+$C$2:$C$1000)&lt;(A61*100+C61))*($A$2:$A$1000*100+$C$2:$C$1000))))*$F$2:$F$1000)-G61))</f>
        <v/>
      </c>
    </row>
    <row r="62" customFormat="false" ht="15" hidden="false" customHeight="true" outlineLevel="0" collapsed="false">
      <c r="A62" s="17" t="n">
        <v>2026</v>
      </c>
      <c r="B62" s="17" t="s">
        <v>20</v>
      </c>
      <c r="C62" s="17" t="n">
        <v>7</v>
      </c>
      <c r="D62" s="17" t="s">
        <v>3</v>
      </c>
      <c r="E62" s="17" t="s">
        <v>3</v>
      </c>
      <c r="F62" s="18" t="n">
        <v>3377.66</v>
      </c>
      <c r="G62" s="19"/>
      <c r="H62" s="20" t="str">
        <f aca="false">IF(D62&lt;&gt;"Investimento","",IF(SUMPRODUCT(MAX(($E$2:$E$1000=E62)*(($A$2:$A$1000*100+$C$2:$C$1000)&lt;(A62*100+C62))*($A$2:$A$1000*100+$C$2:$C$1000)))=0,"",F62-SUMPRODUCT(($E$2:$E$1000=E62)*(($A$2:$A$1000*100+$C$2:$C$1000)=SUMPRODUCT(MAX(($E$2:$E$1000=E62)*(($A$2:$A$1000*100+$C$2:$C$1000)&lt;(A62*100+C62))*($A$2:$A$1000*100+$C$2:$C$1000))))*$F$2:$F$1000)-G62))</f>
        <v/>
      </c>
    </row>
    <row r="63" customFormat="false" ht="15" hidden="false" customHeight="true" outlineLevel="0" collapsed="false">
      <c r="A63" s="17" t="n">
        <v>2026</v>
      </c>
      <c r="B63" s="17" t="s">
        <v>20</v>
      </c>
      <c r="C63" s="17" t="n">
        <v>7</v>
      </c>
      <c r="D63" s="21" t="s">
        <v>68</v>
      </c>
      <c r="E63" s="21" t="s">
        <v>40</v>
      </c>
      <c r="F63" s="18" t="n">
        <v>100</v>
      </c>
      <c r="G63" s="18"/>
      <c r="H63" s="22" t="n">
        <f aca="false">IF(D63&lt;&gt;"Investimento","",IF(SUMPRODUCT(MAX(($E$2:$E$1000=E63)*(($A$2:$A$1000*100+$C$2:$C$1000)&lt;(A63*100+C63))*($A$2:$A$1000*100+$C$2:$C$1000)))=0,"",F63-SUMPRODUCT(($E$2:$E$1000=E63)*(($A$2:$A$1000*100+$C$2:$C$1000)=SUMPRODUCT(MAX(($E$2:$E$1000=E63)*(($A$2:$A$1000*100+$C$2:$C$1000)&lt;(A63*100+C63))*($A$2:$A$1000*100+$C$2:$C$1000))))*$F$2:$F$1000)-G63))</f>
        <v>0</v>
      </c>
    </row>
    <row r="64" customFormat="false" ht="15" hidden="false" customHeight="true" outlineLevel="0" collapsed="false">
      <c r="A64" s="17" t="n">
        <v>2026</v>
      </c>
      <c r="B64" s="17" t="s">
        <v>20</v>
      </c>
      <c r="C64" s="17" t="n">
        <v>7</v>
      </c>
      <c r="D64" s="21" t="s">
        <v>68</v>
      </c>
      <c r="E64" s="21" t="s">
        <v>41</v>
      </c>
      <c r="F64" s="18" t="n">
        <v>6889.6</v>
      </c>
      <c r="G64" s="18" t="n">
        <v>114</v>
      </c>
      <c r="H64" s="22" t="n">
        <f aca="false">IF(D64&lt;&gt;"Investimento","",IF(SUMPRODUCT(MAX(($E$2:$E$1000=E64)*(($A$2:$A$1000*100+$C$2:$C$1000)&lt;(A64*100+C64))*($A$2:$A$1000*100+$C$2:$C$1000)))=0,"",F64-SUMPRODUCT(($E$2:$E$1000=E64)*(($A$2:$A$1000*100+$C$2:$C$1000)=SUMPRODUCT(MAX(($E$2:$E$1000=E64)*(($A$2:$A$1000*100+$C$2:$C$1000)&lt;(A64*100+C64))*($A$2:$A$1000*100+$C$2:$C$1000))))*$F$2:$F$1000)-G64))</f>
        <v>163.68</v>
      </c>
    </row>
    <row r="65" customFormat="false" ht="15" hidden="false" customHeight="true" outlineLevel="0" collapsed="false">
      <c r="A65" s="17" t="n">
        <v>2026</v>
      </c>
      <c r="B65" s="17" t="s">
        <v>20</v>
      </c>
      <c r="C65" s="17" t="n">
        <v>7</v>
      </c>
      <c r="D65" s="21" t="s">
        <v>68</v>
      </c>
      <c r="E65" s="21" t="s">
        <v>42</v>
      </c>
      <c r="F65" s="18" t="n">
        <v>2334.07</v>
      </c>
      <c r="G65" s="18" t="n">
        <v>50</v>
      </c>
      <c r="H65" s="22" t="n">
        <f aca="false">IF(D65&lt;&gt;"Investimento","",IF(SUMPRODUCT(MAX(($E$2:$E$1000=E65)*(($A$2:$A$1000*100+$C$2:$C$1000)&lt;(A65*100+C65))*($A$2:$A$1000*100+$C$2:$C$1000)))=0,"",F65-SUMPRODUCT(($E$2:$E$1000=E65)*(($A$2:$A$1000*100+$C$2:$C$1000)=SUMPRODUCT(MAX(($E$2:$E$1000=E65)*(($A$2:$A$1000*100+$C$2:$C$1000)&lt;(A65*100+C65))*($A$2:$A$1000*100+$C$2:$C$1000))))*$F$2:$F$1000)-G65))</f>
        <v>10.0700000000002</v>
      </c>
    </row>
    <row r="66" customFormat="false" ht="15" hidden="false" customHeight="true" outlineLevel="0" collapsed="false">
      <c r="A66" s="17" t="n">
        <v>2026</v>
      </c>
      <c r="B66" s="17" t="s">
        <v>20</v>
      </c>
      <c r="C66" s="17" t="n">
        <v>7</v>
      </c>
      <c r="D66" s="21" t="s">
        <v>68</v>
      </c>
      <c r="E66" s="21" t="s">
        <v>43</v>
      </c>
      <c r="F66" s="18" t="n">
        <v>2884.95</v>
      </c>
      <c r="G66" s="18" t="n">
        <v>50</v>
      </c>
      <c r="H66" s="22" t="n">
        <f aca="false">IF(D66&lt;&gt;"Investimento","",IF(SUMPRODUCT(MAX(($E$2:$E$1000=E66)*(($A$2:$A$1000*100+$C$2:$C$1000)&lt;(A66*100+C66))*($A$2:$A$1000*100+$C$2:$C$1000)))=0,"",F66-SUMPRODUCT(($E$2:$E$1000=E66)*(($A$2:$A$1000*100+$C$2:$C$1000)=SUMPRODUCT(MAX(($E$2:$E$1000=E66)*(($A$2:$A$1000*100+$C$2:$C$1000)&lt;(A66*100+C66))*($A$2:$A$1000*100+$C$2:$C$1000))))*$F$2:$F$1000)-G66))</f>
        <v>56.73</v>
      </c>
    </row>
    <row r="67" customFormat="false" ht="15" hidden="false" customHeight="true" outlineLevel="0" collapsed="false">
      <c r="A67" s="17" t="n">
        <v>2026</v>
      </c>
      <c r="B67" s="17" t="s">
        <v>20</v>
      </c>
      <c r="C67" s="17" t="n">
        <v>7</v>
      </c>
      <c r="D67" s="21" t="s">
        <v>68</v>
      </c>
      <c r="E67" s="21" t="s">
        <v>44</v>
      </c>
      <c r="F67" s="18" t="n">
        <v>2741.98</v>
      </c>
      <c r="G67" s="18"/>
      <c r="H67" s="22" t="n">
        <f aca="false">IF(D67&lt;&gt;"Investimento","",IF(SUMPRODUCT(MAX(($E$2:$E$1000=E67)*(($A$2:$A$1000*100+$C$2:$C$1000)&lt;(A67*100+C67))*($A$2:$A$1000*100+$C$2:$C$1000)))=0,"",F67-SUMPRODUCT(($E$2:$E$1000=E67)*(($A$2:$A$1000*100+$C$2:$C$1000)=SUMPRODUCT(MAX(($E$2:$E$1000=E67)*(($A$2:$A$1000*100+$C$2:$C$1000)&lt;(A67*100+C67))*($A$2:$A$1000*100+$C$2:$C$1000))))*$F$2:$F$1000)-G67))</f>
        <v>17.23</v>
      </c>
    </row>
    <row r="68" customFormat="false" ht="15" hidden="false" customHeight="true" outlineLevel="0" collapsed="false">
      <c r="A68" s="17" t="n">
        <v>2026</v>
      </c>
      <c r="B68" s="17" t="s">
        <v>20</v>
      </c>
      <c r="C68" s="17" t="n">
        <v>7</v>
      </c>
      <c r="D68" s="21" t="s">
        <v>68</v>
      </c>
      <c r="E68" s="21" t="s">
        <v>45</v>
      </c>
      <c r="F68" s="18" t="n">
        <v>2001.54</v>
      </c>
      <c r="G68" s="18" t="n">
        <v>50</v>
      </c>
      <c r="H68" s="22" t="n">
        <f aca="false">IF(D68&lt;&gt;"Investimento","",IF(SUMPRODUCT(MAX(($E$2:$E$1000=E68)*(($A$2:$A$1000*100+$C$2:$C$1000)&lt;(A68*100+C68))*($A$2:$A$1000*100+$C$2:$C$1000)))=0,"",F68-SUMPRODUCT(($E$2:$E$1000=E68)*(($A$2:$A$1000*100+$C$2:$C$1000)=SUMPRODUCT(MAX(($E$2:$E$1000=E68)*(($A$2:$A$1000*100+$C$2:$C$1000)&lt;(A68*100+C68))*($A$2:$A$1000*100+$C$2:$C$1000))))*$F$2:$F$1000)-G68))</f>
        <v>42.26</v>
      </c>
    </row>
    <row r="69" customFormat="false" ht="15" hidden="false" customHeight="true" outlineLevel="0" collapsed="false">
      <c r="A69" s="17" t="n">
        <v>2026</v>
      </c>
      <c r="B69" s="17" t="s">
        <v>20</v>
      </c>
      <c r="C69" s="17" t="n">
        <v>7</v>
      </c>
      <c r="D69" s="21" t="s">
        <v>68</v>
      </c>
      <c r="E69" s="21" t="s">
        <v>46</v>
      </c>
      <c r="F69" s="18" t="n">
        <v>353.18</v>
      </c>
      <c r="G69" s="18" t="n">
        <v>20</v>
      </c>
      <c r="H69" s="22" t="n">
        <f aca="false">IF(D69&lt;&gt;"Investimento","",IF(SUMPRODUCT(MAX(($E$2:$E$1000=E69)*(($A$2:$A$1000*100+$C$2:$C$1000)&lt;(A69*100+C69))*($A$2:$A$1000*100+$C$2:$C$1000)))=0,"",F69-SUMPRODUCT(($E$2:$E$1000=E69)*(($A$2:$A$1000*100+$C$2:$C$1000)=SUMPRODUCT(MAX(($E$2:$E$1000=E69)*(($A$2:$A$1000*100+$C$2:$C$1000)&lt;(A69*100+C69))*($A$2:$A$1000*100+$C$2:$C$1000))))*$F$2:$F$1000)-G69))</f>
        <v>21.18</v>
      </c>
    </row>
    <row r="70" customFormat="false" ht="15" hidden="false" customHeight="true" outlineLevel="0" collapsed="false">
      <c r="A70" s="17" t="n">
        <v>2026</v>
      </c>
      <c r="B70" s="17" t="s">
        <v>20</v>
      </c>
      <c r="C70" s="17" t="n">
        <v>7</v>
      </c>
      <c r="D70" s="21" t="s">
        <v>68</v>
      </c>
      <c r="E70" s="21" t="s">
        <v>47</v>
      </c>
      <c r="F70" s="18" t="n">
        <v>18671.83</v>
      </c>
      <c r="G70" s="18" t="n">
        <v>0</v>
      </c>
      <c r="H70" s="22" t="n">
        <f aca="false">IF(D70&lt;&gt;"Investimento","",IF(SUMPRODUCT(MAX(($E$2:$E$1000=E70)*(($A$2:$A$1000*100+$C$2:$C$1000)&lt;(A70*100+C70))*($A$2:$A$1000*100+$C$2:$C$1000)))=0,"",F70-SUMPRODUCT(($E$2:$E$1000=E70)*(($A$2:$A$1000*100+$C$2:$C$1000)=SUMPRODUCT(MAX(($E$2:$E$1000=E70)*(($A$2:$A$1000*100+$C$2:$C$1000)&lt;(A70*100+C70))*($A$2:$A$1000*100+$C$2:$C$1000))))*$F$2:$F$1000)-G70))</f>
        <v>-440.939999999999</v>
      </c>
    </row>
    <row r="71" customFormat="false" ht="15" hidden="false" customHeight="true" outlineLevel="0" collapsed="false">
      <c r="A71" s="17" t="n">
        <v>2026</v>
      </c>
      <c r="B71" s="17" t="s">
        <v>20</v>
      </c>
      <c r="C71" s="17" t="n">
        <v>7</v>
      </c>
      <c r="D71" s="21" t="s">
        <v>68</v>
      </c>
      <c r="E71" s="21" t="s">
        <v>48</v>
      </c>
      <c r="F71" s="18" t="n">
        <v>422.2</v>
      </c>
      <c r="G71" s="18" t="n">
        <v>50</v>
      </c>
      <c r="H71" s="22" t="n">
        <f aca="false">IF(D71&lt;&gt;"Investimento","",IF(SUMPRODUCT(MAX(($E$2:$E$1000=E71)*(($A$2:$A$1000*100+$C$2:$C$1000)&lt;(A71*100+C71))*($A$2:$A$1000*100+$C$2:$C$1000)))=0,"",F71-SUMPRODUCT(($E$2:$E$1000=E71)*(($A$2:$A$1000*100+$C$2:$C$1000)=SUMPRODUCT(MAX(($E$2:$E$1000=E71)*(($A$2:$A$1000*100+$C$2:$C$1000)&lt;(A71*100+C71))*($A$2:$A$1000*100+$C$2:$C$1000))))*$F$2:$F$1000)-G71))</f>
        <v>43.14</v>
      </c>
    </row>
    <row r="72" customFormat="false" ht="15" hidden="false" customHeight="true" outlineLevel="0" collapsed="false">
      <c r="A72" s="17" t="n">
        <v>2026</v>
      </c>
      <c r="B72" s="17" t="s">
        <v>20</v>
      </c>
      <c r="C72" s="17" t="n">
        <v>7</v>
      </c>
      <c r="D72" s="23" t="s">
        <v>12</v>
      </c>
      <c r="E72" s="23" t="s">
        <v>4</v>
      </c>
      <c r="F72" s="18"/>
      <c r="G72" s="24"/>
      <c r="H72" s="25" t="str">
        <f aca="false">IF(D72&lt;&gt;"Investimento","",IF(SUMPRODUCT(MAX(($E$2:$E$1000=E72)*(($A$2:$A$1000*100+$C$2:$C$1000)&lt;(A72*100+C72))*($A$2:$A$1000*100+$C$2:$C$1000)))=0,"",F72-SUMPRODUCT(($E$2:$E$1000=E72)*(($A$2:$A$1000*100+$C$2:$C$1000)=SUMPRODUCT(MAX(($E$2:$E$1000=E72)*(($A$2:$A$1000*100+$C$2:$C$1000)&lt;(A72*100+C72))*($A$2:$A$1000*100+$C$2:$C$1000))))*$F$2:$F$1000)-G72))</f>
        <v/>
      </c>
    </row>
    <row r="73" customFormat="false" ht="15" hidden="false" customHeight="true" outlineLevel="0" collapsed="false">
      <c r="A73" s="17" t="n">
        <v>2026</v>
      </c>
      <c r="B73" s="17" t="s">
        <v>20</v>
      </c>
      <c r="C73" s="17" t="n">
        <v>7</v>
      </c>
      <c r="D73" s="26" t="s">
        <v>69</v>
      </c>
      <c r="E73" s="26" t="s">
        <v>70</v>
      </c>
      <c r="F73" s="18" t="n">
        <v>31</v>
      </c>
      <c r="G73" s="27"/>
      <c r="H73" s="28" t="str">
        <f aca="false">IF(D73&lt;&gt;"Investimento","",IF(SUMPRODUCT(MAX(($E$2:$E$1000=E73)*(($A$2:$A$1000*100+$C$2:$C$1000)&lt;(A73*100+C73))*($A$2:$A$1000*100+$C$2:$C$1000)))=0,"",F73-SUMPRODUCT(($E$2:$E$1000=E73)*(($A$2:$A$1000*100+$C$2:$C$1000)=SUMPRODUCT(MAX(($E$2:$E$1000=E73)*(($A$2:$A$1000*100+$C$2:$C$1000)&lt;(A73*100+C73))*($A$2:$A$1000*100+$C$2:$C$1000))))*$F$2:$F$1000)-G73))</f>
        <v/>
      </c>
    </row>
    <row r="74" customFormat="false" ht="15" hidden="false" customHeight="true" outlineLevel="0" collapsed="false">
      <c r="A74" s="1" t="n">
        <v>2026</v>
      </c>
      <c r="B74" s="1" t="s">
        <v>21</v>
      </c>
      <c r="C74" s="1" t="n">
        <v>8</v>
      </c>
      <c r="D74" s="1" t="s">
        <v>3</v>
      </c>
      <c r="E74" s="1" t="s">
        <v>3</v>
      </c>
      <c r="F74" s="1" t="n">
        <v>1969.12</v>
      </c>
      <c r="H74" s="1" t="str">
        <f aca="false">IF(D74&lt;&gt;"Investimento","",IF(SUMPRODUCT(MAX(($E$2:$E$1000=E74)*(($A$2:$A$1000*100+$C$2:$C$1000)&lt;(A74*100+C74))*($A$2:$A$1000*100+$C$2:$C$1000)))=0,"",F74-SUMPRODUCT(($E$2:$E$1000=E74)*(($A$2:$A$1000*100+$C$2:$C$1000)=SUMPRODUCT(MAX(($E$2:$E$1000=E74)*(($A$2:$A$1000*100+$C$2:$C$1000)&lt;(A74*100+C74))*($A$2:$A$1000*100+$C$2:$C$1000))))*$F$2:$F$1000)-G74))</f>
        <v/>
      </c>
    </row>
    <row r="75" customFormat="false" ht="15" hidden="false" customHeight="true" outlineLevel="0" collapsed="false">
      <c r="A75" s="1" t="n">
        <v>2026</v>
      </c>
      <c r="B75" s="1" t="s">
        <v>21</v>
      </c>
      <c r="C75" s="1" t="n">
        <v>8</v>
      </c>
      <c r="D75" s="1" t="s">
        <v>68</v>
      </c>
      <c r="E75" s="1" t="s">
        <v>40</v>
      </c>
      <c r="F75" s="1" t="n">
        <v>100</v>
      </c>
      <c r="H75" s="1" t="n">
        <f aca="false">IF(D75&lt;&gt;"Investimento","",IF(SUMPRODUCT(MAX(($E$2:$E$1000=E75)*(($A$2:$A$1000*100+$C$2:$C$1000)&lt;(A75*100+C75))*($A$2:$A$1000*100+$C$2:$C$1000)))=0,"",F75-SUMPRODUCT(($E$2:$E$1000=E75)*(($A$2:$A$1000*100+$C$2:$C$1000)=SUMPRODUCT(MAX(($E$2:$E$1000=E75)*(($A$2:$A$1000*100+$C$2:$C$1000)&lt;(A75*100+C75))*($A$2:$A$1000*100+$C$2:$C$1000))))*$F$2:$F$1000)-G75))</f>
        <v>0</v>
      </c>
    </row>
    <row r="76" customFormat="false" ht="15" hidden="false" customHeight="true" outlineLevel="0" collapsed="false">
      <c r="A76" s="1" t="n">
        <v>2026</v>
      </c>
      <c r="B76" s="1" t="s">
        <v>21</v>
      </c>
      <c r="C76" s="1" t="n">
        <v>8</v>
      </c>
      <c r="D76" s="1" t="s">
        <v>68</v>
      </c>
      <c r="E76" s="1" t="s">
        <v>41</v>
      </c>
      <c r="F76" s="1" t="n">
        <v>7089.2</v>
      </c>
      <c r="G76" s="1" t="n">
        <v>165</v>
      </c>
      <c r="H76" s="1" t="n">
        <f aca="false">IF(D76&lt;&gt;"Investimento","",IF(SUMPRODUCT(MAX(($E$2:$E$1000=E76)*(($A$2:$A$1000*100+$C$2:$C$1000)&lt;(A76*100+C76))*($A$2:$A$1000*100+$C$2:$C$1000)))=0,"",F76-SUMPRODUCT(($E$2:$E$1000=E76)*(($A$2:$A$1000*100+$C$2:$C$1000)=SUMPRODUCT(MAX(($E$2:$E$1000=E76)*(($A$2:$A$1000*100+$C$2:$C$1000)&lt;(A76*100+C76))*($A$2:$A$1000*100+$C$2:$C$1000))))*$F$2:$F$1000)-G76))</f>
        <v>34.5999999999995</v>
      </c>
    </row>
    <row r="77" customFormat="false" ht="15" hidden="false" customHeight="true" outlineLevel="0" collapsed="false">
      <c r="A77" s="1" t="n">
        <v>2026</v>
      </c>
      <c r="B77" s="1" t="s">
        <v>21</v>
      </c>
      <c r="C77" s="1" t="n">
        <v>8</v>
      </c>
      <c r="D77" s="1" t="s">
        <v>68</v>
      </c>
      <c r="E77" s="1" t="s">
        <v>42</v>
      </c>
      <c r="F77" s="1" t="n">
        <v>2430.88</v>
      </c>
      <c r="G77" s="1" t="n">
        <v>50</v>
      </c>
      <c r="H77" s="1" t="n">
        <f aca="false">IF(D77&lt;&gt;"Investimento","",IF(SUMPRODUCT(MAX(($E$2:$E$1000=E77)*(($A$2:$A$1000*100+$C$2:$C$1000)&lt;(A77*100+C77))*($A$2:$A$1000*100+$C$2:$C$1000)))=0,"",F77-SUMPRODUCT(($E$2:$E$1000=E77)*(($A$2:$A$1000*100+$C$2:$C$1000)=SUMPRODUCT(MAX(($E$2:$E$1000=E77)*(($A$2:$A$1000*100+$C$2:$C$1000)&lt;(A77*100+C77))*($A$2:$A$1000*100+$C$2:$C$1000))))*$F$2:$F$1000)-G77))</f>
        <v>46.8099999999999</v>
      </c>
    </row>
    <row r="78" customFormat="false" ht="15" hidden="false" customHeight="true" outlineLevel="0" collapsed="false">
      <c r="A78" s="1" t="n">
        <v>2026</v>
      </c>
      <c r="B78" s="1" t="s">
        <v>21</v>
      </c>
      <c r="C78" s="1" t="n">
        <v>8</v>
      </c>
      <c r="D78" s="1" t="s">
        <v>68</v>
      </c>
      <c r="E78" s="1" t="s">
        <v>43</v>
      </c>
      <c r="F78" s="1" t="n">
        <v>2991.1</v>
      </c>
      <c r="G78" s="1" t="n">
        <v>50</v>
      </c>
      <c r="H78" s="1" t="n">
        <f aca="false">IF(D78&lt;&gt;"Investimento","",IF(SUMPRODUCT(MAX(($E$2:$E$1000=E78)*(($A$2:$A$1000*100+$C$2:$C$1000)&lt;(A78*100+C78))*($A$2:$A$1000*100+$C$2:$C$1000)))=0,"",F78-SUMPRODUCT(($E$2:$E$1000=E78)*(($A$2:$A$1000*100+$C$2:$C$1000)=SUMPRODUCT(MAX(($E$2:$E$1000=E78)*(($A$2:$A$1000*100+$C$2:$C$1000)&lt;(A78*100+C78))*($A$2:$A$1000*100+$C$2:$C$1000))))*$F$2:$F$1000)-G78))</f>
        <v>56.1500000000001</v>
      </c>
    </row>
    <row r="79" customFormat="false" ht="15" hidden="false" customHeight="true" outlineLevel="0" collapsed="false">
      <c r="A79" s="1" t="n">
        <v>2026</v>
      </c>
      <c r="B79" s="1" t="s">
        <v>21</v>
      </c>
      <c r="C79" s="1" t="n">
        <v>8</v>
      </c>
      <c r="D79" s="1" t="s">
        <v>68</v>
      </c>
      <c r="E79" s="1" t="s">
        <v>44</v>
      </c>
      <c r="F79" s="1" t="n">
        <v>2741.98</v>
      </c>
      <c r="H79" s="1" t="n">
        <f aca="false">IF(D79&lt;&gt;"Investimento","",IF(SUMPRODUCT(MAX(($E$2:$E$1000=E79)*(($A$2:$A$1000*100+$C$2:$C$1000)&lt;(A79*100+C79))*($A$2:$A$1000*100+$C$2:$C$1000)))=0,"",F79-SUMPRODUCT(($E$2:$E$1000=E79)*(($A$2:$A$1000*100+$C$2:$C$1000)=SUMPRODUCT(MAX(($E$2:$E$1000=E79)*(($A$2:$A$1000*100+$C$2:$C$1000)&lt;(A79*100+C79))*($A$2:$A$1000*100+$C$2:$C$1000))))*$F$2:$F$1000)-G79))</f>
        <v>0</v>
      </c>
    </row>
    <row r="80" customFormat="false" ht="15" hidden="false" customHeight="true" outlineLevel="0" collapsed="false">
      <c r="A80" s="1" t="n">
        <v>2026</v>
      </c>
      <c r="B80" s="1" t="s">
        <v>21</v>
      </c>
      <c r="C80" s="1" t="n">
        <v>8</v>
      </c>
      <c r="D80" s="1" t="s">
        <v>68</v>
      </c>
      <c r="E80" s="1" t="s">
        <v>45</v>
      </c>
      <c r="F80" s="1" t="n">
        <v>2048.85</v>
      </c>
      <c r="G80" s="1" t="n">
        <v>50</v>
      </c>
      <c r="H80" s="1" t="n">
        <f aca="false">IF(D80&lt;&gt;"Investimento","",IF(SUMPRODUCT(MAX(($E$2:$E$1000=E80)*(($A$2:$A$1000*100+$C$2:$C$1000)&lt;(A80*100+C80))*($A$2:$A$1000*100+$C$2:$C$1000)))=0,"",F80-SUMPRODUCT(($E$2:$E$1000=E80)*(($A$2:$A$1000*100+$C$2:$C$1000)=SUMPRODUCT(MAX(($E$2:$E$1000=E80)*(($A$2:$A$1000*100+$C$2:$C$1000)&lt;(A80*100+C80))*($A$2:$A$1000*100+$C$2:$C$1000))))*$F$2:$F$1000)-G80))</f>
        <v>-2.69000000000005</v>
      </c>
    </row>
    <row r="81" customFormat="false" ht="15" hidden="false" customHeight="true" outlineLevel="0" collapsed="false">
      <c r="A81" s="1" t="n">
        <v>2026</v>
      </c>
      <c r="B81" s="1" t="s">
        <v>21</v>
      </c>
      <c r="C81" s="1" t="n">
        <v>8</v>
      </c>
      <c r="D81" s="1" t="s">
        <v>68</v>
      </c>
      <c r="E81" s="1" t="s">
        <v>46</v>
      </c>
      <c r="F81" s="1" t="n">
        <v>373.46</v>
      </c>
      <c r="G81" s="1" t="n">
        <v>20</v>
      </c>
      <c r="H81" s="1" t="n">
        <f aca="false">IF(D81&lt;&gt;"Investimento","",IF(SUMPRODUCT(MAX(($E$2:$E$1000=E81)*(($A$2:$A$1000*100+$C$2:$C$1000)&lt;(A81*100+C81))*($A$2:$A$1000*100+$C$2:$C$1000)))=0,"",F81-SUMPRODUCT(($E$2:$E$1000=E81)*(($A$2:$A$1000*100+$C$2:$C$1000)=SUMPRODUCT(MAX(($E$2:$E$1000=E81)*(($A$2:$A$1000*100+$C$2:$C$1000)&lt;(A81*100+C81))*($A$2:$A$1000*100+$C$2:$C$1000))))*$F$2:$F$1000)-G81))</f>
        <v>0.279999999999973</v>
      </c>
    </row>
    <row r="82" customFormat="false" ht="15" hidden="false" customHeight="true" outlineLevel="0" collapsed="false">
      <c r="A82" s="1" t="n">
        <v>2026</v>
      </c>
      <c r="B82" s="1" t="s">
        <v>21</v>
      </c>
      <c r="C82" s="1" t="n">
        <v>8</v>
      </c>
      <c r="D82" s="1" t="s">
        <v>68</v>
      </c>
      <c r="E82" s="1" t="s">
        <v>47</v>
      </c>
      <c r="F82" s="1" t="n">
        <v>18697.52</v>
      </c>
      <c r="G82" s="1" t="n">
        <v>0</v>
      </c>
      <c r="H82" s="1" t="n">
        <f aca="false">IF(D82&lt;&gt;"Investimento","",IF(SUMPRODUCT(MAX(($E$2:$E$1000=E82)*(($A$2:$A$1000*100+$C$2:$C$1000)&lt;(A82*100+C82))*($A$2:$A$1000*100+$C$2:$C$1000)))=0,"",F82-SUMPRODUCT(($E$2:$E$1000=E82)*(($A$2:$A$1000*100+$C$2:$C$1000)=SUMPRODUCT(MAX(($E$2:$E$1000=E82)*(($A$2:$A$1000*100+$C$2:$C$1000)&lt;(A82*100+C82))*($A$2:$A$1000*100+$C$2:$C$1000))))*$F$2:$F$1000)-G82))</f>
        <v>25.6899999999987</v>
      </c>
    </row>
    <row r="83" customFormat="false" ht="15" hidden="false" customHeight="true" outlineLevel="0" collapsed="false">
      <c r="A83" s="1" t="n">
        <v>2026</v>
      </c>
      <c r="B83" s="1" t="s">
        <v>21</v>
      </c>
      <c r="C83" s="1" t="n">
        <v>8</v>
      </c>
      <c r="D83" s="1" t="s">
        <v>68</v>
      </c>
      <c r="E83" s="1" t="s">
        <v>48</v>
      </c>
      <c r="F83" s="1" t="n">
        <v>480.4</v>
      </c>
      <c r="G83" s="1" t="n">
        <v>50</v>
      </c>
      <c r="H83" s="1" t="n">
        <f aca="false">IF(D83&lt;&gt;"Investimento","",IF(SUMPRODUCT(MAX(($E$2:$E$1000=E83)*(($A$2:$A$1000*100+$C$2:$C$1000)&lt;(A83*100+C83))*($A$2:$A$1000*100+$C$2:$C$1000)))=0,"",F83-SUMPRODUCT(($E$2:$E$1000=E83)*(($A$2:$A$1000*100+$C$2:$C$1000)=SUMPRODUCT(MAX(($E$2:$E$1000=E83)*(($A$2:$A$1000*100+$C$2:$C$1000)&lt;(A83*100+C83))*($A$2:$A$1000*100+$C$2:$C$1000))))*$F$2:$F$1000)-G83))</f>
        <v>8.19999999999999</v>
      </c>
    </row>
    <row r="84" customFormat="false" ht="15" hidden="false" customHeight="true" outlineLevel="0" collapsed="false">
      <c r="A84" s="1" t="n">
        <v>2026</v>
      </c>
      <c r="B84" s="1" t="s">
        <v>21</v>
      </c>
      <c r="C84" s="1" t="n">
        <v>8</v>
      </c>
      <c r="D84" s="1" t="s">
        <v>12</v>
      </c>
      <c r="E84" s="1" t="s">
        <v>4</v>
      </c>
      <c r="F84" s="1" t="n">
        <v>10</v>
      </c>
      <c r="H84" s="1" t="str">
        <f aca="false">IF(D84&lt;&gt;"Investimento","",IF(SUMPRODUCT(MAX(($E$2:$E$1000=E84)*(($A$2:$A$1000*100+$C$2:$C$1000)&lt;(A84*100+C84))*($A$2:$A$1000*100+$C$2:$C$1000)))=0,"",F84-SUMPRODUCT(($E$2:$E$1000=E84)*(($A$2:$A$1000*100+$C$2:$C$1000)=SUMPRODUCT(MAX(($E$2:$E$1000=E84)*(($A$2:$A$1000*100+$C$2:$C$1000)&lt;(A84*100+C84))*($A$2:$A$1000*100+$C$2:$C$1000))))*$F$2:$F$1000)-G84))</f>
        <v/>
      </c>
    </row>
    <row r="85" customFormat="false" ht="15" hidden="false" customHeight="true" outlineLevel="0" collapsed="false">
      <c r="A85" s="1" t="n">
        <v>2026</v>
      </c>
      <c r="B85" s="1" t="s">
        <v>21</v>
      </c>
      <c r="C85" s="1" t="n">
        <v>8</v>
      </c>
      <c r="D85" s="1" t="s">
        <v>69</v>
      </c>
      <c r="E85" s="1" t="s">
        <v>70</v>
      </c>
      <c r="F85" s="1" t="n">
        <v>38</v>
      </c>
      <c r="H85" s="1" t="str">
        <f aca="false">IF(D85&lt;&gt;"Investimento","",IF(SUMPRODUCT(MAX(($E$2:$E$1000=E85)*(($A$2:$A$1000*100+$C$2:$C$1000)&lt;(A85*100+C85))*($A$2:$A$1000*100+$C$2:$C$1000)))=0,"",F85-SUMPRODUCT(($E$2:$E$1000=E85)*(($A$2:$A$1000*100+$C$2:$C$1000)=SUMPRODUCT(MAX(($E$2:$E$1000=E85)*(($A$2:$A$1000*100+$C$2:$C$1000)&lt;(A85*100+C85))*($A$2:$A$1000*100+$C$2:$C$1000))))*$F$2:$F$1000)-G85))</f>
        <v/>
      </c>
    </row>
    <row r="8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7.88"/>
    <col collapsed="false" customWidth="true" hidden="false" outlineLevel="0" max="3" min="3" style="1" width="20.25"/>
    <col collapsed="false" customWidth="true" hidden="false" outlineLevel="0" max="4" min="4" style="1" width="25.38"/>
    <col collapsed="false" customWidth="true" hidden="false" outlineLevel="0" max="5" min="5" style="1" width="17.06"/>
    <col collapsed="false" customWidth="true" hidden="false" outlineLevel="0" max="6" min="6" style="1" width="20.13"/>
    <col collapsed="false" customWidth="true" hidden="false" outlineLevel="0" max="7" min="7" style="1" width="25.38"/>
    <col collapsed="false" customWidth="true" hidden="false" outlineLevel="0" max="8" min="8" style="1" width="17.06"/>
    <col collapsed="false" customWidth="true" hidden="false" outlineLevel="0" max="9" min="9" style="1" width="20.13"/>
    <col collapsed="false" customWidth="true" hidden="false" outlineLevel="0" max="10" min="10" style="1" width="25.38"/>
    <col collapsed="false" customWidth="true" hidden="false" outlineLevel="0" max="11" min="11" style="1" width="19.52"/>
    <col collapsed="false" customWidth="true" hidden="false" outlineLevel="0" max="12" min="12" style="1" width="22"/>
    <col collapsed="false" customWidth="true" hidden="false" outlineLevel="0" max="13" min="13" style="1" width="25.38"/>
    <col collapsed="false" customWidth="true" hidden="false" outlineLevel="0" max="14" min="14" style="1" width="17.06"/>
    <col collapsed="false" customWidth="true" hidden="false" outlineLevel="0" max="15" min="15" style="1" width="20.13"/>
    <col collapsed="false" customWidth="true" hidden="false" outlineLevel="0" max="16" min="16" style="1" width="25.38"/>
    <col collapsed="false" customWidth="true" hidden="false" outlineLevel="0" max="17" min="17" style="1" width="15.75"/>
    <col collapsed="false" customWidth="true" hidden="false" outlineLevel="0" max="18" min="18" style="1" width="20.13"/>
    <col collapsed="false" customWidth="true" hidden="false" outlineLevel="0" max="19" min="19" style="1" width="25.38"/>
    <col collapsed="false" customWidth="true" hidden="false" outlineLevel="0" max="20" min="20" style="1" width="15.75"/>
    <col collapsed="false" customWidth="true" hidden="false" outlineLevel="0" max="21" min="21" style="1" width="20.13"/>
    <col collapsed="false" customWidth="true" hidden="false" outlineLevel="0" max="22" min="22" style="1" width="25.38"/>
    <col collapsed="false" customWidth="true" hidden="false" outlineLevel="0" max="23" min="23" style="1" width="15.75"/>
    <col collapsed="false" customWidth="true" hidden="false" outlineLevel="0" max="24" min="24" style="1" width="20.13"/>
    <col collapsed="false" customWidth="true" hidden="false" outlineLevel="0" max="25" min="25" style="1" width="25.38"/>
    <col collapsed="false" customWidth="true" hidden="false" outlineLevel="0" max="26" min="26" style="1" width="15.75"/>
    <col collapsed="false" customWidth="true" hidden="false" outlineLevel="0" max="27" min="27" style="1" width="20.13"/>
    <col collapsed="false" customWidth="true" hidden="false" outlineLevel="0" max="28" min="28" style="1" width="25.38"/>
    <col collapsed="false" customWidth="true" hidden="false" outlineLevel="0" max="29" min="29" style="1" width="15.75"/>
    <col collapsed="false" customWidth="true" hidden="false" outlineLevel="0" max="30" min="30" style="1" width="20.13"/>
    <col collapsed="false" customWidth="true" hidden="false" outlineLevel="0" max="31" min="31" style="1" width="25.38"/>
    <col collapsed="false" customWidth="true" hidden="false" outlineLevel="0" max="32" min="32" style="1" width="15.75"/>
    <col collapsed="false" customWidth="true" hidden="false" outlineLevel="0" max="33" min="33" style="1" width="20.13"/>
    <col collapsed="false" customWidth="true" hidden="false" outlineLevel="0" max="34" min="34" style="1" width="25.38"/>
    <col collapsed="false" customWidth="true" hidden="false" outlineLevel="0" max="35" min="35" style="1" width="15.75"/>
    <col collapsed="false" customWidth="true" hidden="false" outlineLevel="0" max="36" min="36" style="1" width="20.13"/>
    <col collapsed="false" customWidth="true" hidden="false" outlineLevel="0" max="37" min="37" style="1" width="25.38"/>
  </cols>
  <sheetData>
    <row r="1" customFormat="false" ht="18" hidden="false" customHeight="true" outlineLevel="0" collapsed="false">
      <c r="A1" s="29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customFormat="false" ht="18" hidden="false" customHeight="true" outlineLevel="0" collapsed="false">
      <c r="A2" s="30"/>
      <c r="B2" s="31" t="s">
        <v>14</v>
      </c>
      <c r="C2" s="31"/>
      <c r="D2" s="31"/>
      <c r="E2" s="31" t="s">
        <v>15</v>
      </c>
      <c r="F2" s="31"/>
      <c r="G2" s="31"/>
      <c r="H2" s="31" t="s">
        <v>16</v>
      </c>
      <c r="I2" s="31"/>
      <c r="J2" s="31"/>
      <c r="K2" s="31" t="s">
        <v>17</v>
      </c>
      <c r="L2" s="31"/>
      <c r="M2" s="31"/>
      <c r="N2" s="31" t="s">
        <v>18</v>
      </c>
      <c r="O2" s="31"/>
      <c r="P2" s="31"/>
      <c r="Q2" s="31" t="s">
        <v>19</v>
      </c>
      <c r="R2" s="31"/>
      <c r="S2" s="31"/>
      <c r="T2" s="31" t="s">
        <v>20</v>
      </c>
      <c r="U2" s="31"/>
      <c r="V2" s="31"/>
      <c r="W2" s="31" t="s">
        <v>21</v>
      </c>
      <c r="X2" s="31"/>
      <c r="Y2" s="31"/>
      <c r="Z2" s="31" t="s">
        <v>22</v>
      </c>
      <c r="AA2" s="31"/>
      <c r="AB2" s="31"/>
      <c r="AC2" s="31" t="s">
        <v>23</v>
      </c>
      <c r="AD2" s="31"/>
      <c r="AE2" s="31"/>
      <c r="AF2" s="31" t="s">
        <v>24</v>
      </c>
      <c r="AG2" s="31"/>
      <c r="AH2" s="31"/>
      <c r="AI2" s="31" t="s">
        <v>25</v>
      </c>
      <c r="AJ2" s="31"/>
      <c r="AK2" s="31"/>
    </row>
    <row r="3" customFormat="false" ht="18" hidden="false" customHeight="true" outlineLevel="0" collapsed="false">
      <c r="A3" s="32" t="s">
        <v>73</v>
      </c>
      <c r="B3" s="33" t="n">
        <v>1670.18</v>
      </c>
      <c r="C3" s="33"/>
      <c r="D3" s="33"/>
      <c r="E3" s="33" t="n">
        <v>2628.38</v>
      </c>
      <c r="F3" s="33"/>
      <c r="G3" s="33"/>
      <c r="H3" s="33" t="n">
        <v>2675.51</v>
      </c>
      <c r="I3" s="33"/>
      <c r="J3" s="33"/>
      <c r="K3" s="33" t="n">
        <v>2561.59</v>
      </c>
      <c r="L3" s="33"/>
      <c r="M3" s="33"/>
      <c r="N3" s="33" t="n">
        <v>1786.89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</row>
    <row r="4" customFormat="false" ht="18" hidden="false" customHeight="true" outlineLevel="0" collapsed="false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customFormat="false" ht="18" hidden="false" customHeight="true" outlineLevel="0" collapsed="false">
      <c r="A5" s="32" t="s">
        <v>11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customFormat="false" ht="18" hidden="false" customHeight="true" outlineLevel="0" collapsed="false">
      <c r="A6" s="36"/>
      <c r="B6" s="37" t="s">
        <v>14</v>
      </c>
      <c r="C6" s="37"/>
      <c r="D6" s="37"/>
      <c r="E6" s="37" t="s">
        <v>15</v>
      </c>
      <c r="F6" s="37"/>
      <c r="G6" s="37"/>
      <c r="H6" s="37" t="s">
        <v>16</v>
      </c>
      <c r="I6" s="37"/>
      <c r="J6" s="37"/>
      <c r="K6" s="37" t="s">
        <v>17</v>
      </c>
      <c r="L6" s="37"/>
      <c r="M6" s="37"/>
      <c r="N6" s="37" t="s">
        <v>18</v>
      </c>
      <c r="O6" s="37"/>
      <c r="P6" s="37"/>
      <c r="Q6" s="37" t="s">
        <v>19</v>
      </c>
      <c r="R6" s="37"/>
      <c r="S6" s="37"/>
      <c r="T6" s="37" t="s">
        <v>20</v>
      </c>
      <c r="U6" s="37"/>
      <c r="V6" s="37"/>
      <c r="W6" s="37" t="s">
        <v>21</v>
      </c>
      <c r="X6" s="37"/>
      <c r="Y6" s="37"/>
      <c r="Z6" s="37" t="s">
        <v>22</v>
      </c>
      <c r="AA6" s="37"/>
      <c r="AB6" s="37"/>
      <c r="AC6" s="37" t="s">
        <v>23</v>
      </c>
      <c r="AD6" s="37"/>
      <c r="AE6" s="37"/>
      <c r="AF6" s="37" t="s">
        <v>24</v>
      </c>
      <c r="AG6" s="37"/>
      <c r="AH6" s="37"/>
      <c r="AI6" s="37" t="s">
        <v>25</v>
      </c>
      <c r="AJ6" s="37"/>
      <c r="AK6" s="37"/>
    </row>
    <row r="7" customFormat="false" ht="22.5" hidden="false" customHeight="true" outlineLevel="0" collapsed="false">
      <c r="A7" s="38" t="s">
        <v>74</v>
      </c>
      <c r="B7" s="39" t="s">
        <v>65</v>
      </c>
      <c r="C7" s="39" t="s">
        <v>66</v>
      </c>
      <c r="D7" s="39" t="s">
        <v>67</v>
      </c>
      <c r="E7" s="39" t="s">
        <v>75</v>
      </c>
      <c r="F7" s="39" t="s">
        <v>76</v>
      </c>
      <c r="G7" s="39" t="s">
        <v>77</v>
      </c>
      <c r="H7" s="39" t="s">
        <v>78</v>
      </c>
      <c r="I7" s="39" t="s">
        <v>79</v>
      </c>
      <c r="J7" s="39" t="s">
        <v>80</v>
      </c>
      <c r="K7" s="39" t="s">
        <v>81</v>
      </c>
      <c r="L7" s="39" t="s">
        <v>82</v>
      </c>
      <c r="M7" s="39" t="s">
        <v>83</v>
      </c>
      <c r="N7" s="39" t="s">
        <v>84</v>
      </c>
      <c r="O7" s="39" t="s">
        <v>85</v>
      </c>
      <c r="P7" s="39" t="s">
        <v>86</v>
      </c>
      <c r="Q7" s="39" t="s">
        <v>87</v>
      </c>
      <c r="R7" s="39" t="s">
        <v>88</v>
      </c>
      <c r="S7" s="39" t="s">
        <v>89</v>
      </c>
      <c r="T7" s="39" t="s">
        <v>90</v>
      </c>
      <c r="U7" s="39" t="s">
        <v>91</v>
      </c>
      <c r="V7" s="39" t="s">
        <v>92</v>
      </c>
      <c r="W7" s="39" t="s">
        <v>93</v>
      </c>
      <c r="X7" s="39" t="s">
        <v>94</v>
      </c>
      <c r="Y7" s="39" t="s">
        <v>95</v>
      </c>
      <c r="Z7" s="39" t="s">
        <v>96</v>
      </c>
      <c r="AA7" s="39" t="s">
        <v>97</v>
      </c>
      <c r="AB7" s="39" t="s">
        <v>98</v>
      </c>
      <c r="AC7" s="39" t="s">
        <v>99</v>
      </c>
      <c r="AD7" s="39" t="s">
        <v>100</v>
      </c>
      <c r="AE7" s="39" t="s">
        <v>101</v>
      </c>
      <c r="AF7" s="39" t="s">
        <v>102</v>
      </c>
      <c r="AG7" s="39" t="s">
        <v>103</v>
      </c>
      <c r="AH7" s="39" t="s">
        <v>104</v>
      </c>
      <c r="AI7" s="39" t="s">
        <v>105</v>
      </c>
      <c r="AJ7" s="39" t="s">
        <v>106</v>
      </c>
      <c r="AK7" s="39" t="s">
        <v>107</v>
      </c>
    </row>
    <row r="8" customFormat="false" ht="22.5" hidden="false" customHeight="true" outlineLevel="0" collapsed="false">
      <c r="A8" s="40" t="s">
        <v>40</v>
      </c>
      <c r="B8" s="41" t="n">
        <v>4000</v>
      </c>
      <c r="C8" s="42"/>
      <c r="D8" s="42"/>
      <c r="E8" s="41" t="n">
        <v>267.71</v>
      </c>
      <c r="F8" s="41" t="n">
        <v>0</v>
      </c>
      <c r="G8" s="41" t="n">
        <f aca="false">E8 - B8 - F8</f>
        <v>-3732.29</v>
      </c>
      <c r="H8" s="41" t="n">
        <v>100</v>
      </c>
      <c r="I8" s="41" t="n">
        <v>0</v>
      </c>
      <c r="J8" s="41" t="n">
        <f aca="false">SUM(H8-E8)</f>
        <v>-167.71</v>
      </c>
      <c r="K8" s="41" t="n">
        <v>100</v>
      </c>
      <c r="L8" s="41" t="n">
        <v>0</v>
      </c>
      <c r="M8" s="41" t="n">
        <f aca="false">SUM(K8-H8)</f>
        <v>0</v>
      </c>
      <c r="N8" s="41" t="n">
        <v>100</v>
      </c>
      <c r="O8" s="41" t="n">
        <v>0</v>
      </c>
      <c r="P8" s="41" t="n">
        <f aca="false">SUM(N8-K8)</f>
        <v>0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  <c r="AK8" s="41"/>
    </row>
    <row r="9" customFormat="false" ht="22.5" hidden="false" customHeight="true" outlineLevel="0" collapsed="false">
      <c r="A9" s="43" t="s">
        <v>41</v>
      </c>
      <c r="B9" s="41" t="n">
        <v>6251.29</v>
      </c>
      <c r="C9" s="42"/>
      <c r="D9" s="42"/>
      <c r="E9" s="41" t="n">
        <v>6309.34</v>
      </c>
      <c r="F9" s="41" t="n">
        <v>26</v>
      </c>
      <c r="G9" s="41" t="n">
        <f aca="false">E9 - B9 - F9</f>
        <v>32.0500000000002</v>
      </c>
      <c r="H9" s="41" t="n">
        <v>6386.73</v>
      </c>
      <c r="I9" s="41" t="n">
        <v>55</v>
      </c>
      <c r="J9" s="41" t="n">
        <f aca="false">SUM(H9-E9)</f>
        <v>77.3899999999994</v>
      </c>
      <c r="K9" s="41" t="n">
        <v>6479.54</v>
      </c>
      <c r="L9" s="41" t="n">
        <v>62</v>
      </c>
      <c r="M9" s="41" t="n">
        <f aca="false">SUM(K9-H9)</f>
        <v>92.8100000000004</v>
      </c>
      <c r="N9" s="41" t="n">
        <v>6611.92</v>
      </c>
      <c r="O9" s="41" t="n">
        <v>100</v>
      </c>
      <c r="P9" s="41" t="n">
        <f aca="false">SUM(N9-K9)</f>
        <v>132.38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2"/>
      <c r="AK9" s="41"/>
    </row>
    <row r="10" customFormat="false" ht="22.5" hidden="false" customHeight="true" outlineLevel="0" collapsed="false">
      <c r="A10" s="44" t="s">
        <v>42</v>
      </c>
      <c r="B10" s="41" t="n">
        <v>2010.83</v>
      </c>
      <c r="C10" s="42"/>
      <c r="D10" s="42"/>
      <c r="E10" s="41" t="n">
        <v>2046.34</v>
      </c>
      <c r="F10" s="41" t="n">
        <v>0</v>
      </c>
      <c r="G10" s="41" t="n">
        <f aca="false">E10 - B10 - F10</f>
        <v>35.51</v>
      </c>
      <c r="H10" s="41" t="n">
        <v>1971.27</v>
      </c>
      <c r="I10" s="41" t="n">
        <v>0</v>
      </c>
      <c r="J10" s="41" t="n">
        <f aca="false">SUM(H10-E10)</f>
        <v>-75.0699999999999</v>
      </c>
      <c r="K10" s="41" t="n">
        <v>2189.55</v>
      </c>
      <c r="L10" s="41" t="n">
        <v>50</v>
      </c>
      <c r="M10" s="41" t="n">
        <f aca="false">SUM(K10-H10)</f>
        <v>218.28</v>
      </c>
      <c r="N10" s="41" t="n">
        <v>2274</v>
      </c>
      <c r="O10" s="41" t="n">
        <v>50</v>
      </c>
      <c r="P10" s="41" t="n">
        <f aca="false">SUM(N10-K10)</f>
        <v>84.4499999999998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2"/>
      <c r="AK10" s="41"/>
    </row>
    <row r="11" customFormat="false" ht="22.5" hidden="false" customHeight="true" outlineLevel="0" collapsed="false">
      <c r="A11" s="45" t="s">
        <v>108</v>
      </c>
      <c r="B11" s="41" t="n">
        <v>470</v>
      </c>
      <c r="C11" s="42"/>
      <c r="D11" s="42"/>
      <c r="E11" s="41" t="n">
        <v>370</v>
      </c>
      <c r="F11" s="41" t="n">
        <v>0</v>
      </c>
      <c r="G11" s="41" t="n">
        <f aca="false">E11 - B11 - F11</f>
        <v>-100</v>
      </c>
      <c r="H11" s="41" t="n">
        <v>330</v>
      </c>
      <c r="I11" s="41" t="n">
        <v>0</v>
      </c>
      <c r="J11" s="41" t="n">
        <f aca="false">SUM(H11-E11)</f>
        <v>-40</v>
      </c>
      <c r="K11" s="41" t="n">
        <v>90</v>
      </c>
      <c r="L11" s="41" t="n">
        <v>0</v>
      </c>
      <c r="M11" s="41" t="n">
        <f aca="false">SUM(K11-H11)</f>
        <v>-240</v>
      </c>
      <c r="N11" s="41" t="n">
        <v>80</v>
      </c>
      <c r="O11" s="41" t="n">
        <v>0</v>
      </c>
      <c r="P11" s="41" t="n">
        <f aca="false">SUM(N11-K11)</f>
        <v>-10</v>
      </c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2"/>
      <c r="AK11" s="41"/>
    </row>
    <row r="12" customFormat="false" ht="22.5" hidden="false" customHeight="true" outlineLevel="0" collapsed="false">
      <c r="A12" s="46" t="s">
        <v>43</v>
      </c>
      <c r="B12" s="41" t="n">
        <v>2503.69</v>
      </c>
      <c r="C12" s="42"/>
      <c r="D12" s="42"/>
      <c r="E12" s="41" t="n">
        <v>2557.77</v>
      </c>
      <c r="F12" s="41" t="n">
        <v>50</v>
      </c>
      <c r="G12" s="41" t="n">
        <f aca="false">E12 - B12 - F12</f>
        <v>4.07999999999993</v>
      </c>
      <c r="H12" s="41" t="n">
        <v>2504.71</v>
      </c>
      <c r="I12" s="41" t="n">
        <v>50</v>
      </c>
      <c r="J12" s="41" t="n">
        <f aca="false">SUM(H12-E12)</f>
        <v>-53.0599999999999</v>
      </c>
      <c r="K12" s="41" t="n">
        <v>2659.51</v>
      </c>
      <c r="L12" s="41" t="n">
        <v>50</v>
      </c>
      <c r="M12" s="41" t="n">
        <f aca="false">SUM(K12-H12)</f>
        <v>154.8</v>
      </c>
      <c r="N12" s="41" t="n">
        <v>2778.22</v>
      </c>
      <c r="O12" s="41" t="n">
        <v>50</v>
      </c>
      <c r="P12" s="41" t="n">
        <f aca="false">SUM(N12-K12)</f>
        <v>118.71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2"/>
      <c r="AK12" s="41"/>
    </row>
    <row r="13" customFormat="false" ht="22.5" hidden="false" customHeight="true" outlineLevel="0" collapsed="false">
      <c r="A13" s="47" t="s">
        <v>44</v>
      </c>
      <c r="B13" s="41" t="n">
        <v>2707.43</v>
      </c>
      <c r="C13" s="42"/>
      <c r="D13" s="42"/>
      <c r="E13" s="41" t="n">
        <v>2707.43</v>
      </c>
      <c r="F13" s="41" t="n">
        <v>0</v>
      </c>
      <c r="G13" s="41" t="n">
        <f aca="false">E13 - B13 - F13</f>
        <v>0</v>
      </c>
      <c r="H13" s="41" t="n">
        <v>2707.43</v>
      </c>
      <c r="I13" s="41" t="n">
        <v>0</v>
      </c>
      <c r="J13" s="41" t="n">
        <f aca="false">SUM(H13-E13)</f>
        <v>0</v>
      </c>
      <c r="K13" s="41" t="n">
        <v>2724.75</v>
      </c>
      <c r="L13" s="41" t="n">
        <v>0</v>
      </c>
      <c r="M13" s="41" t="n">
        <f aca="false">SUM(K13-H13)</f>
        <v>17.3200000000002</v>
      </c>
      <c r="N13" s="41" t="n">
        <v>2724.75</v>
      </c>
      <c r="O13" s="41" t="n">
        <v>0</v>
      </c>
      <c r="P13" s="41" t="n">
        <f aca="false">SUM(N13-K13)</f>
        <v>0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2"/>
      <c r="AK13" s="41"/>
    </row>
    <row r="14" customFormat="false" ht="22.5" hidden="false" customHeight="true" outlineLevel="0" collapsed="false">
      <c r="A14" s="48" t="s">
        <v>45</v>
      </c>
      <c r="B14" s="41" t="n">
        <v>1709.21</v>
      </c>
      <c r="C14" s="42"/>
      <c r="D14" s="42"/>
      <c r="E14" s="41" t="n">
        <v>1766</v>
      </c>
      <c r="F14" s="41" t="n">
        <v>50</v>
      </c>
      <c r="G14" s="41" t="n">
        <f aca="false">E14 - B14 - F14</f>
        <v>6.78999999999996</v>
      </c>
      <c r="H14" s="41" t="n">
        <v>1784.76</v>
      </c>
      <c r="I14" s="41" t="n">
        <v>50</v>
      </c>
      <c r="J14" s="41" t="n">
        <f aca="false">SUM(H14-E14)</f>
        <v>18.76</v>
      </c>
      <c r="K14" s="41" t="n">
        <v>1846.5</v>
      </c>
      <c r="L14" s="41" t="n">
        <v>50</v>
      </c>
      <c r="M14" s="41" t="n">
        <f aca="false">SUM(K14-H14)</f>
        <v>61.74</v>
      </c>
      <c r="N14" s="41" t="n">
        <v>1909.28</v>
      </c>
      <c r="O14" s="41" t="n">
        <v>50</v>
      </c>
      <c r="P14" s="41" t="n">
        <f aca="false">SUM(N14-K14)</f>
        <v>62.78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2"/>
      <c r="AK14" s="41"/>
    </row>
    <row r="15" customFormat="false" ht="22.5" hidden="false" customHeight="true" outlineLevel="0" collapsed="false">
      <c r="A15" s="49" t="s">
        <v>46</v>
      </c>
      <c r="B15" s="41" t="n">
        <v>226.13</v>
      </c>
      <c r="C15" s="42"/>
      <c r="D15" s="42"/>
      <c r="E15" s="41" t="n">
        <v>246.28</v>
      </c>
      <c r="F15" s="41" t="n">
        <v>20</v>
      </c>
      <c r="G15" s="41" t="n">
        <f aca="false">E15 - B15 - F15</f>
        <v>0.150000000000006</v>
      </c>
      <c r="H15" s="41" t="n">
        <v>266.57</v>
      </c>
      <c r="I15" s="41" t="n">
        <v>20</v>
      </c>
      <c r="J15" s="41" t="n">
        <f aca="false">SUM(H15-E15)</f>
        <v>20.29</v>
      </c>
      <c r="K15" s="41" t="n">
        <v>287</v>
      </c>
      <c r="L15" s="41" t="n">
        <v>20</v>
      </c>
      <c r="M15" s="41" t="n">
        <f aca="false">SUM(K15-H15)</f>
        <v>20.43</v>
      </c>
      <c r="N15" s="41" t="n">
        <v>312</v>
      </c>
      <c r="O15" s="41" t="n">
        <v>0</v>
      </c>
      <c r="P15" s="41" t="n">
        <f aca="false">SUM(N15-K15)</f>
        <v>25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2"/>
      <c r="AK15" s="41"/>
    </row>
    <row r="16" customFormat="false" ht="22.5" hidden="false" customHeight="true" outlineLevel="0" collapsed="false">
      <c r="A16" s="50" t="s">
        <v>47</v>
      </c>
      <c r="B16" s="41" t="n">
        <v>18991.73</v>
      </c>
      <c r="C16" s="42"/>
      <c r="D16" s="42"/>
      <c r="E16" s="41" t="n">
        <v>18991.73</v>
      </c>
      <c r="F16" s="41" t="n">
        <v>0</v>
      </c>
      <c r="G16" s="41" t="n">
        <f aca="false">E16 - B16 - F16</f>
        <v>0</v>
      </c>
      <c r="H16" s="41" t="n">
        <v>17053.07</v>
      </c>
      <c r="I16" s="41" t="n">
        <v>0</v>
      </c>
      <c r="J16" s="41" t="n">
        <f aca="false">SUM(H16-E16)</f>
        <v>-1938.66</v>
      </c>
      <c r="K16" s="41" t="n">
        <v>18081.26</v>
      </c>
      <c r="L16" s="41" t="n">
        <v>1000</v>
      </c>
      <c r="M16" s="41" t="n">
        <f aca="false">SUM(K16-H16)</f>
        <v>1028.19</v>
      </c>
      <c r="N16" s="41" t="n">
        <v>19112.77</v>
      </c>
      <c r="O16" s="41" t="n">
        <v>1000</v>
      </c>
      <c r="P16" s="41" t="n">
        <f aca="false">SUM(N16-K16)</f>
        <v>1031.51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2"/>
      <c r="AK16" s="41"/>
    </row>
    <row r="17" customFormat="false" ht="22.5" hidden="false" customHeight="true" outlineLevel="0" collapsed="false">
      <c r="A17" s="51" t="s">
        <v>48</v>
      </c>
      <c r="B17" s="41" t="n">
        <v>157.01</v>
      </c>
      <c r="C17" s="42"/>
      <c r="D17" s="42"/>
      <c r="E17" s="41" t="n">
        <v>213.06</v>
      </c>
      <c r="F17" s="41" t="n">
        <v>50</v>
      </c>
      <c r="G17" s="41" t="n">
        <f aca="false">E17 - B17 - F17</f>
        <v>6.05000000000001</v>
      </c>
      <c r="H17" s="41" t="n">
        <v>203.32</v>
      </c>
      <c r="I17" s="41" t="n">
        <v>0</v>
      </c>
      <c r="J17" s="41" t="n">
        <f aca="false">SUM(H17-E17)</f>
        <v>-9.74000000000001</v>
      </c>
      <c r="K17" s="41" t="n">
        <v>262.41</v>
      </c>
      <c r="L17" s="41" t="n">
        <v>50</v>
      </c>
      <c r="M17" s="41" t="n">
        <f aca="false">SUM(K17-H17)</f>
        <v>59.09</v>
      </c>
      <c r="N17" s="41" t="n">
        <v>329.06</v>
      </c>
      <c r="O17" s="41" t="n">
        <v>50</v>
      </c>
      <c r="P17" s="41" t="n">
        <f aca="false">SUM(N17-K17)</f>
        <v>66.65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2"/>
      <c r="AK17" s="41"/>
    </row>
    <row r="18" customFormat="false" ht="22.5" hidden="false" customHeight="true" outlineLevel="0" collapsed="false">
      <c r="A18" s="52" t="s">
        <v>109</v>
      </c>
      <c r="B18" s="53" t="n">
        <f aca="false">SUM(B8:B16)</f>
        <v>38870.31</v>
      </c>
      <c r="C18" s="54"/>
      <c r="D18" s="54"/>
      <c r="E18" s="53" t="n">
        <f aca="false">SUM(E8:E17)</f>
        <v>35475.66</v>
      </c>
      <c r="F18" s="53" t="n">
        <f aca="false">SUM(F8:F17)</f>
        <v>196</v>
      </c>
      <c r="G18" s="53" t="n">
        <f aca="false">SUM(G8:G17)</f>
        <v>-3747.66</v>
      </c>
      <c r="H18" s="53" t="n">
        <f aca="false">SUM(H8:H17)</f>
        <v>33307.86</v>
      </c>
      <c r="I18" s="53" t="n">
        <f aca="false">SUM(I8:I17)</f>
        <v>175</v>
      </c>
      <c r="J18" s="53" t="n">
        <f aca="false">SUM(H18-E18)</f>
        <v>-2167.8</v>
      </c>
      <c r="K18" s="53" t="n">
        <f aca="false">SUM(K8:K17)</f>
        <v>34720.52</v>
      </c>
      <c r="L18" s="53" t="n">
        <f aca="false">SUM(L8:L17)</f>
        <v>1282</v>
      </c>
      <c r="M18" s="53" t="n">
        <f aca="false">SUM(K18-H18)</f>
        <v>1412.66</v>
      </c>
      <c r="N18" s="53" t="n">
        <f aca="false">SUM(N8:N17)</f>
        <v>36232</v>
      </c>
      <c r="O18" s="53" t="n">
        <f aca="false">SUM(O8:O17)</f>
        <v>1300</v>
      </c>
      <c r="P18" s="53" t="n">
        <f aca="false">SUM(P8:P17)</f>
        <v>1511.48</v>
      </c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4"/>
      <c r="AK18" s="53"/>
    </row>
    <row r="19" customFormat="false" ht="18" hidden="false" customHeight="true" outlineLevel="0" collapsed="false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</row>
    <row r="20" customFormat="false" ht="18" hidden="false" customHeight="true" outlineLevel="0" collapsed="false">
      <c r="A20" s="57" t="s">
        <v>13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customFormat="false" ht="22.5" hidden="false" customHeight="true" outlineLevel="0" collapsed="false">
      <c r="A21" s="59" t="s">
        <v>46</v>
      </c>
      <c r="B21" s="60" t="s">
        <v>14</v>
      </c>
      <c r="C21" s="60" t="s">
        <v>15</v>
      </c>
      <c r="D21" s="60" t="s">
        <v>16</v>
      </c>
      <c r="E21" s="60" t="s">
        <v>17</v>
      </c>
      <c r="F21" s="60" t="s">
        <v>18</v>
      </c>
      <c r="G21" s="60" t="s">
        <v>19</v>
      </c>
      <c r="H21" s="60" t="s">
        <v>20</v>
      </c>
      <c r="I21" s="60" t="s">
        <v>21</v>
      </c>
      <c r="J21" s="60" t="s">
        <v>22</v>
      </c>
      <c r="K21" s="60" t="s">
        <v>23</v>
      </c>
      <c r="L21" s="60" t="s">
        <v>24</v>
      </c>
      <c r="M21" s="60" t="s">
        <v>25</v>
      </c>
      <c r="N21" s="61"/>
      <c r="O21" s="60"/>
      <c r="P21" s="60"/>
      <c r="Q21" s="61"/>
      <c r="R21" s="60"/>
      <c r="S21" s="60"/>
      <c r="T21" s="61"/>
      <c r="U21" s="60"/>
      <c r="V21" s="60"/>
      <c r="W21" s="61"/>
      <c r="X21" s="60"/>
      <c r="Y21" s="60"/>
      <c r="Z21" s="60"/>
      <c r="AA21" s="60"/>
      <c r="AB21" s="60"/>
      <c r="AC21" s="61"/>
      <c r="AD21" s="61"/>
      <c r="AE21" s="61"/>
      <c r="AF21" s="61"/>
      <c r="AG21" s="61"/>
      <c r="AH21" s="61"/>
      <c r="AI21" s="61"/>
      <c r="AJ21" s="61"/>
      <c r="AK21" s="61"/>
    </row>
    <row r="22" customFormat="false" ht="22.5" hidden="false" customHeight="true" outlineLevel="0" collapsed="false">
      <c r="A22" s="62" t="s">
        <v>70</v>
      </c>
      <c r="B22" s="63" t="n">
        <v>35.12</v>
      </c>
      <c r="C22" s="63" t="n">
        <v>30.05</v>
      </c>
      <c r="D22" s="63" t="n">
        <v>31</v>
      </c>
      <c r="E22" s="63" t="n">
        <v>35</v>
      </c>
      <c r="F22" s="63" t="n">
        <v>33</v>
      </c>
      <c r="G22" s="64"/>
      <c r="H22" s="64"/>
      <c r="I22" s="64"/>
      <c r="J22" s="64"/>
      <c r="K22" s="64"/>
      <c r="L22" s="64"/>
      <c r="M22" s="64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6"/>
      <c r="AG22" s="66"/>
      <c r="AH22" s="66"/>
      <c r="AI22" s="66"/>
      <c r="AJ22" s="66"/>
      <c r="AK22" s="66"/>
    </row>
    <row r="23" customFormat="false" ht="22.5" hidden="false" customHeight="true" outlineLevel="0" collapsed="false">
      <c r="A23" s="52" t="s">
        <v>109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0"/>
      <c r="AF23" s="60"/>
      <c r="AG23" s="60"/>
      <c r="AH23" s="60"/>
      <c r="AI23" s="60"/>
      <c r="AJ23" s="60"/>
      <c r="AK23" s="60"/>
    </row>
    <row r="24" customFormat="false" ht="15.75" hidden="false" customHeight="true" outlineLevel="0" collapsed="false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</row>
    <row r="25" customFormat="false" ht="15.75" hidden="false" customHeight="true" outlineLevel="0" collapsed="false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</row>
    <row r="26" customFormat="false" ht="15.75" hidden="false" customHeight="true" outlineLevel="0" collapsed="false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</row>
    <row r="27" customFormat="false" ht="15.75" hidden="false" customHeight="true" outlineLevel="0" collapsed="false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</row>
    <row r="28" customFormat="false" ht="15.75" hidden="false" customHeight="true" outlineLevel="0" collapsed="false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</row>
    <row r="29" customFormat="false" ht="15.75" hidden="false" customHeight="true" outlineLevel="0" collapsed="false">
      <c r="A29" s="5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</row>
    <row r="30" customFormat="false" ht="15.75" hidden="false" customHeight="true" outlineLevel="0" collapsed="false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</row>
    <row r="31" customFormat="false" ht="15.75" hidden="false" customHeight="true" outlineLevel="0" collapsed="false">
      <c r="A31" s="55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</row>
    <row r="32" customFormat="false" ht="15.75" hidden="false" customHeight="true" outlineLevel="0" collapsed="false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</row>
    <row r="33" customFormat="false" ht="15.75" hidden="false" customHeight="true" outlineLevel="0" collapsed="false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</row>
    <row r="34" customFormat="false" ht="15.75" hidden="false" customHeight="true" outlineLevel="0" collapsed="false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</row>
    <row r="35" customFormat="false" ht="15.75" hidden="false" customHeight="true" outlineLevel="0" collapsed="false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</row>
    <row r="36" customFormat="false" ht="15.75" hidden="false" customHeight="true" outlineLevel="0" collapsed="false">
      <c r="A36" s="55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</row>
    <row r="37" customFormat="false" ht="15.75" hidden="false" customHeight="true" outlineLevel="0" collapsed="false">
      <c r="A37" s="55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</row>
    <row r="38" customFormat="false" ht="15.75" hidden="false" customHeight="true" outlineLevel="0" collapsed="false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</row>
    <row r="39" customFormat="false" ht="15.75" hidden="false" customHeight="true" outlineLevel="0" collapsed="false">
      <c r="A39" s="55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</row>
    <row r="40" customFormat="false" ht="15.75" hidden="false" customHeight="true" outlineLevel="0" collapsed="false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</row>
    <row r="41" customFormat="false" ht="15.75" hidden="false" customHeight="true" outlineLevel="0" collapsed="false">
      <c r="A41" s="55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</row>
    <row r="42" customFormat="false" ht="15.75" hidden="false" customHeight="true" outlineLevel="0" collapsed="false">
      <c r="A42" s="55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</row>
    <row r="43" customFormat="false" ht="15.75" hidden="false" customHeight="true" outlineLevel="0" collapsed="false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</row>
    <row r="44" customFormat="false" ht="15.75" hidden="false" customHeight="true" outlineLevel="0" collapsed="false">
      <c r="A44" s="55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</row>
    <row r="45" customFormat="false" ht="15.75" hidden="false" customHeight="true" outlineLevel="0" collapsed="false">
      <c r="A45" s="55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</row>
    <row r="46" customFormat="false" ht="15.75" hidden="false" customHeight="true" outlineLevel="0" collapsed="false">
      <c r="A46" s="55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</row>
    <row r="47" customFormat="false" ht="15.75" hidden="false" customHeight="true" outlineLevel="0" collapsed="false">
      <c r="A47" s="55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</row>
    <row r="48" customFormat="false" ht="15.75" hidden="false" customHeight="true" outlineLevel="0" collapsed="false">
      <c r="A48" s="5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</row>
    <row r="49" customFormat="false" ht="15.75" hidden="false" customHeight="true" outlineLevel="0" collapsed="false">
      <c r="A49" s="55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</row>
    <row r="50" customFormat="false" ht="15.75" hidden="false" customHeight="true" outlineLevel="0" collapsed="false">
      <c r="A50" s="55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</row>
    <row r="51" customFormat="false" ht="15.75" hidden="false" customHeight="true" outlineLevel="0" collapsed="false">
      <c r="A51" s="55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</row>
    <row r="52" customFormat="false" ht="15.75" hidden="false" customHeight="true" outlineLevel="0" collapsed="false">
      <c r="A52" s="55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</row>
    <row r="53" customFormat="false" ht="15.75" hidden="false" customHeight="true" outlineLevel="0" collapsed="false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</row>
    <row r="54" customFormat="false" ht="15.75" hidden="false" customHeight="true" outlineLevel="0" collapsed="false">
      <c r="A54" s="55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</row>
    <row r="55" customFormat="false" ht="15.75" hidden="false" customHeight="true" outlineLevel="0" collapsed="false">
      <c r="A55" s="55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</row>
    <row r="56" customFormat="false" ht="15.75" hidden="false" customHeight="true" outlineLevel="0" collapsed="false">
      <c r="A56" s="55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</row>
    <row r="57" customFormat="false" ht="15.75" hidden="false" customHeight="true" outlineLevel="0" collapsed="false">
      <c r="A57" s="55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</row>
    <row r="58" customFormat="false" ht="15.75" hidden="false" customHeight="true" outlineLevel="0" collapsed="false">
      <c r="A58" s="55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</row>
    <row r="59" customFormat="false" ht="15.75" hidden="false" customHeight="true" outlineLevel="0" collapsed="false">
      <c r="A59" s="55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</row>
    <row r="60" customFormat="false" ht="15.75" hidden="false" customHeight="true" outlineLevel="0" collapsed="false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</row>
    <row r="61" customFormat="false" ht="15.75" hidden="false" customHeight="true" outlineLevel="0" collapsed="false">
      <c r="A61" s="55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</row>
    <row r="62" customFormat="false" ht="15.75" hidden="false" customHeight="true" outlineLevel="0" collapsed="false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</row>
    <row r="63" customFormat="false" ht="15.75" hidden="false" customHeight="true" outlineLevel="0" collapsed="false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</row>
    <row r="64" customFormat="false" ht="15.75" hidden="false" customHeight="true" outlineLevel="0" collapsed="false">
      <c r="A64" s="55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</row>
    <row r="65" customFormat="false" ht="15.75" hidden="false" customHeight="true" outlineLevel="0" collapsed="false">
      <c r="A65" s="55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</row>
    <row r="66" customFormat="false" ht="15.75" hidden="false" customHeight="true" outlineLevel="0" collapsed="false">
      <c r="A66" s="55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</row>
    <row r="67" customFormat="false" ht="15.75" hidden="false" customHeight="true" outlineLevel="0" collapsed="false">
      <c r="A67" s="55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</row>
    <row r="68" customFormat="false" ht="15.75" hidden="false" customHeight="true" outlineLevel="0" collapsed="false">
      <c r="A68" s="55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</row>
    <row r="69" customFormat="false" ht="15.75" hidden="false" customHeight="true" outlineLevel="0" collapsed="false">
      <c r="A69" s="55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</row>
    <row r="70" customFormat="false" ht="15.75" hidden="false" customHeight="true" outlineLevel="0" collapsed="false">
      <c r="A70" s="55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</row>
    <row r="71" customFormat="false" ht="15.75" hidden="false" customHeight="true" outlineLevel="0" collapsed="false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</row>
    <row r="72" customFormat="false" ht="15.7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</row>
    <row r="73" customFormat="false" ht="15.75" hidden="false" customHeight="true" outlineLevel="0" collapsed="false">
      <c r="A73" s="55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</row>
    <row r="74" customFormat="false" ht="15.75" hidden="false" customHeight="true" outlineLevel="0" collapsed="false">
      <c r="A74" s="55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</row>
    <row r="75" customFormat="false" ht="15.75" hidden="false" customHeight="true" outlineLevel="0" collapsed="false">
      <c r="A75" s="55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</row>
    <row r="76" customFormat="false" ht="15.75" hidden="false" customHeight="true" outlineLevel="0" collapsed="false">
      <c r="A76" s="55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</row>
    <row r="77" customFormat="false" ht="15.75" hidden="false" customHeight="true" outlineLevel="0" collapsed="false">
      <c r="A77" s="5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</row>
    <row r="78" customFormat="false" ht="15.75" hidden="false" customHeight="true" outlineLevel="0" collapsed="false">
      <c r="A78" s="5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</row>
    <row r="79" customFormat="false" ht="15.75" hidden="false" customHeight="true" outlineLevel="0" collapsed="false">
      <c r="A79" s="5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</row>
    <row r="80" customFormat="false" ht="15.75" hidden="false" customHeight="true" outlineLevel="0" collapsed="false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</row>
    <row r="81" customFormat="false" ht="15.75" hidden="false" customHeight="true" outlineLevel="0" collapsed="false">
      <c r="A81" s="5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</row>
    <row r="82" customFormat="false" ht="15.75" hidden="false" customHeight="true" outlineLevel="0" collapsed="false">
      <c r="A82" s="55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</row>
    <row r="83" customFormat="false" ht="15.75" hidden="false" customHeight="true" outlineLevel="0" collapsed="false">
      <c r="A83" s="5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</row>
    <row r="84" customFormat="false" ht="15.75" hidden="false" customHeight="true" outlineLevel="0" collapsed="false">
      <c r="A84" s="5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</row>
    <row r="85" customFormat="false" ht="15.75" hidden="false" customHeight="true" outlineLevel="0" collapsed="false">
      <c r="A85" s="55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</row>
    <row r="86" customFormat="false" ht="15.75" hidden="false" customHeight="true" outlineLevel="0" collapsed="false">
      <c r="A86" s="55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</row>
    <row r="87" customFormat="false" ht="15.75" hidden="false" customHeight="true" outlineLevel="0" collapsed="false">
      <c r="A87" s="5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</row>
    <row r="88" customFormat="false" ht="15.75" hidden="false" customHeight="true" outlineLevel="0" collapsed="false">
      <c r="A88" s="55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</row>
    <row r="89" customFormat="false" ht="15.75" hidden="false" customHeight="true" outlineLevel="0" collapsed="false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</row>
    <row r="90" customFormat="false" ht="15.75" hidden="false" customHeight="true" outlineLevel="0" collapsed="false">
      <c r="A90" s="55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</row>
    <row r="91" customFormat="false" ht="15.75" hidden="false" customHeight="true" outlineLevel="0" collapsed="false">
      <c r="A91" s="55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</row>
    <row r="92" customFormat="false" ht="15.75" hidden="false" customHeight="true" outlineLevel="0" collapsed="false">
      <c r="A92" s="55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</row>
    <row r="93" customFormat="false" ht="15.75" hidden="false" customHeight="true" outlineLevel="0" collapsed="false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</row>
    <row r="94" customFormat="false" ht="15.75" hidden="false" customHeight="true" outlineLevel="0" collapsed="false">
      <c r="A94" s="55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</row>
    <row r="95" customFormat="false" ht="15.75" hidden="false" customHeight="true" outlineLevel="0" collapsed="false">
      <c r="A95" s="55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</row>
    <row r="96" customFormat="false" ht="15.75" hidden="false" customHeight="true" outlineLevel="0" collapsed="false">
      <c r="A96" s="55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</row>
    <row r="97" customFormat="false" ht="15.75" hidden="false" customHeight="true" outlineLevel="0" collapsed="false">
      <c r="A97" s="55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</row>
    <row r="98" customFormat="false" ht="15.75" hidden="false" customHeight="true" outlineLevel="0" collapsed="false">
      <c r="A98" s="55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</row>
    <row r="99" customFormat="false" ht="15.75" hidden="false" customHeight="true" outlineLevel="0" collapsed="false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</row>
    <row r="100" customFormat="false" ht="15.75" hidden="false" customHeight="true" outlineLevel="0" collapsed="false">
      <c r="A100" s="55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</row>
    <row r="101" customFormat="false" ht="15.75" hidden="false" customHeight="true" outlineLevel="0" collapsed="false">
      <c r="A101" s="55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</row>
    <row r="102" customFormat="false" ht="15.75" hidden="false" customHeight="true" outlineLevel="0" collapsed="false">
      <c r="A102" s="55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</row>
    <row r="103" customFormat="false" ht="15.75" hidden="false" customHeight="true" outlineLevel="0" collapsed="false">
      <c r="A103" s="55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</row>
    <row r="104" customFormat="false" ht="15.75" hidden="false" customHeight="true" outlineLevel="0" collapsed="false">
      <c r="A104" s="55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</row>
    <row r="105" customFormat="false" ht="15.75" hidden="false" customHeight="true" outlineLevel="0" collapsed="false">
      <c r="A105" s="55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</row>
    <row r="106" customFormat="false" ht="15.75" hidden="false" customHeight="true" outlineLevel="0" collapsed="false">
      <c r="A106" s="55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</row>
    <row r="107" customFormat="false" ht="15.75" hidden="false" customHeight="true" outlineLevel="0" collapsed="false">
      <c r="A107" s="55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</row>
    <row r="108" customFormat="false" ht="15.75" hidden="false" customHeight="true" outlineLevel="0" collapsed="false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</row>
    <row r="109" customFormat="false" ht="15.75" hidden="false" customHeight="true" outlineLevel="0" collapsed="false">
      <c r="A109" s="55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</row>
    <row r="110" customFormat="false" ht="15.75" hidden="false" customHeight="true" outlineLevel="0" collapsed="false">
      <c r="A110" s="55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</row>
    <row r="111" customFormat="false" ht="15.75" hidden="false" customHeight="true" outlineLevel="0" collapsed="false">
      <c r="A111" s="55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</row>
    <row r="112" customFormat="false" ht="15.75" hidden="false" customHeight="true" outlineLevel="0" collapsed="false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</row>
    <row r="113" customFormat="false" ht="15.75" hidden="false" customHeight="true" outlineLevel="0" collapsed="false">
      <c r="A113" s="55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</row>
    <row r="114" customFormat="false" ht="15.75" hidden="false" customHeight="true" outlineLevel="0" collapsed="false">
      <c r="A114" s="55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</row>
    <row r="115" customFormat="false" ht="15.75" hidden="false" customHeight="true" outlineLevel="0" collapsed="false">
      <c r="A115" s="55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</row>
    <row r="116" customFormat="false" ht="15.75" hidden="false" customHeight="true" outlineLevel="0" collapsed="false">
      <c r="A116" s="55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</row>
    <row r="117" customFormat="false" ht="15.75" hidden="false" customHeight="true" outlineLevel="0" collapsed="false">
      <c r="A117" s="55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</row>
    <row r="118" customFormat="false" ht="15.75" hidden="false" customHeight="true" outlineLevel="0" collapsed="false">
      <c r="A118" s="55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</row>
    <row r="119" customFormat="false" ht="15.75" hidden="false" customHeight="true" outlineLevel="0" collapsed="false">
      <c r="A119" s="55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</row>
    <row r="120" customFormat="false" ht="15.75" hidden="false" customHeight="true" outlineLevel="0" collapsed="false">
      <c r="A120" s="55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</row>
    <row r="121" customFormat="false" ht="15.75" hidden="false" customHeight="true" outlineLevel="0" collapsed="false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</row>
    <row r="122" customFormat="false" ht="15.75" hidden="false" customHeight="true" outlineLevel="0" collapsed="false">
      <c r="A122" s="55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</row>
    <row r="123" customFormat="false" ht="15.75" hidden="false" customHeight="true" outlineLevel="0" collapsed="false">
      <c r="A123" s="55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</row>
    <row r="124" customFormat="false" ht="15.75" hidden="false" customHeight="true" outlineLevel="0" collapsed="false">
      <c r="A124" s="55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</row>
    <row r="125" customFormat="false" ht="15.75" hidden="false" customHeight="true" outlineLevel="0" collapsed="false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</row>
    <row r="126" customFormat="false" ht="15.75" hidden="false" customHeight="true" outlineLevel="0" collapsed="false">
      <c r="A126" s="55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</row>
    <row r="127" customFormat="false" ht="15.75" hidden="false" customHeight="true" outlineLevel="0" collapsed="false">
      <c r="A127" s="55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</row>
    <row r="128" customFormat="false" ht="15.75" hidden="false" customHeight="true" outlineLevel="0" collapsed="false">
      <c r="A128" s="55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</row>
    <row r="129" customFormat="false" ht="15.75" hidden="false" customHeight="true" outlineLevel="0" collapsed="false">
      <c r="A129" s="55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</row>
    <row r="130" customFormat="false" ht="15.75" hidden="false" customHeight="true" outlineLevel="0" collapsed="false">
      <c r="A130" s="55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</row>
    <row r="131" customFormat="false" ht="15.75" hidden="false" customHeight="true" outlineLevel="0" collapsed="false">
      <c r="A131" s="55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</row>
    <row r="132" customFormat="false" ht="15.75" hidden="false" customHeight="true" outlineLevel="0" collapsed="false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</row>
    <row r="133" customFormat="false" ht="15.75" hidden="false" customHeight="true" outlineLevel="0" collapsed="false">
      <c r="A133" s="55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</row>
    <row r="134" customFormat="false" ht="15.75" hidden="false" customHeight="true" outlineLevel="0" collapsed="false">
      <c r="A134" s="55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</row>
    <row r="135" customFormat="false" ht="15.75" hidden="false" customHeight="true" outlineLevel="0" collapsed="false">
      <c r="A135" s="55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</row>
    <row r="136" customFormat="false" ht="15.75" hidden="false" customHeight="true" outlineLevel="0" collapsed="false">
      <c r="A136" s="55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</row>
    <row r="137" customFormat="false" ht="15.75" hidden="false" customHeight="true" outlineLevel="0" collapsed="false">
      <c r="A137" s="55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</row>
    <row r="138" customFormat="false" ht="15.75" hidden="false" customHeight="true" outlineLevel="0" collapsed="false">
      <c r="A138" s="55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</row>
    <row r="139" customFormat="false" ht="15.75" hidden="false" customHeight="true" outlineLevel="0" collapsed="false">
      <c r="A139" s="55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</row>
    <row r="140" customFormat="false" ht="15.75" hidden="false" customHeight="true" outlineLevel="0" collapsed="false">
      <c r="A140" s="55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</row>
    <row r="141" customFormat="false" ht="15.75" hidden="false" customHeight="true" outlineLevel="0" collapsed="false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</row>
    <row r="142" customFormat="false" ht="15.75" hidden="false" customHeight="true" outlineLevel="0" collapsed="false">
      <c r="A142" s="55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</row>
    <row r="143" customFormat="false" ht="15.75" hidden="false" customHeight="true" outlineLevel="0" collapsed="false">
      <c r="A143" s="55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</row>
    <row r="144" customFormat="false" ht="15.75" hidden="false" customHeight="true" outlineLevel="0" collapsed="false">
      <c r="A144" s="55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</row>
    <row r="145" customFormat="false" ht="15.75" hidden="false" customHeight="true" outlineLevel="0" collapsed="false">
      <c r="A145" s="55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</row>
    <row r="146" customFormat="false" ht="15.75" hidden="false" customHeight="true" outlineLevel="0" collapsed="false">
      <c r="A146" s="55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</row>
    <row r="147" customFormat="false" ht="15.75" hidden="false" customHeight="true" outlineLevel="0" collapsed="false">
      <c r="A147" s="55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</row>
    <row r="148" customFormat="false" ht="15.75" hidden="false" customHeight="true" outlineLevel="0" collapsed="false">
      <c r="A148" s="55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</row>
    <row r="149" customFormat="false" ht="15.75" hidden="false" customHeight="true" outlineLevel="0" collapsed="false">
      <c r="A149" s="55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</row>
    <row r="150" customFormat="false" ht="15.75" hidden="false" customHeight="true" outlineLevel="0" collapsed="false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</row>
    <row r="151" customFormat="false" ht="15.75" hidden="false" customHeight="true" outlineLevel="0" collapsed="false">
      <c r="A151" s="55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</row>
    <row r="152" customFormat="false" ht="15.75" hidden="false" customHeight="true" outlineLevel="0" collapsed="false">
      <c r="A152" s="55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</row>
    <row r="153" customFormat="false" ht="15.75" hidden="false" customHeight="true" outlineLevel="0" collapsed="false">
      <c r="A153" s="55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</row>
    <row r="154" customFormat="false" ht="15.75" hidden="false" customHeight="true" outlineLevel="0" collapsed="false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</row>
    <row r="155" customFormat="false" ht="15.75" hidden="false" customHeight="true" outlineLevel="0" collapsed="false">
      <c r="A155" s="55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</row>
    <row r="156" customFormat="false" ht="15.75" hidden="false" customHeight="true" outlineLevel="0" collapsed="false">
      <c r="A156" s="55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</row>
    <row r="157" customFormat="false" ht="15.75" hidden="false" customHeight="true" outlineLevel="0" collapsed="false">
      <c r="A157" s="55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</row>
    <row r="158" customFormat="false" ht="15.75" hidden="false" customHeight="true" outlineLevel="0" collapsed="false">
      <c r="A158" s="55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</row>
    <row r="159" customFormat="false" ht="15.75" hidden="false" customHeight="true" outlineLevel="0" collapsed="false">
      <c r="A159" s="55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</row>
    <row r="160" customFormat="false" ht="15.75" hidden="false" customHeight="true" outlineLevel="0" collapsed="false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</row>
    <row r="161" customFormat="false" ht="15.75" hidden="false" customHeight="true" outlineLevel="0" collapsed="false">
      <c r="A161" s="55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</row>
    <row r="162" customFormat="false" ht="15.75" hidden="false" customHeight="true" outlineLevel="0" collapsed="false">
      <c r="A162" s="55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</row>
    <row r="163" customFormat="false" ht="15.75" hidden="false" customHeight="true" outlineLevel="0" collapsed="false">
      <c r="A163" s="55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</row>
    <row r="164" customFormat="false" ht="15.75" hidden="false" customHeight="true" outlineLevel="0" collapsed="false">
      <c r="A164" s="55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</row>
    <row r="165" customFormat="false" ht="15.75" hidden="false" customHeight="true" outlineLevel="0" collapsed="false">
      <c r="A165" s="55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</row>
    <row r="166" customFormat="false" ht="15.75" hidden="false" customHeight="true" outlineLevel="0" collapsed="false">
      <c r="A166" s="55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</row>
    <row r="167" customFormat="false" ht="15.75" hidden="false" customHeight="true" outlineLevel="0" collapsed="false">
      <c r="A167" s="55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</row>
    <row r="168" customFormat="false" ht="15.75" hidden="false" customHeight="true" outlineLevel="0" collapsed="false">
      <c r="A168" s="55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</row>
    <row r="169" customFormat="false" ht="15.75" hidden="false" customHeight="true" outlineLevel="0" collapsed="false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</row>
    <row r="170" customFormat="false" ht="15.75" hidden="false" customHeight="true" outlineLevel="0" collapsed="false">
      <c r="A170" s="55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</row>
    <row r="171" customFormat="false" ht="15.75" hidden="false" customHeight="true" outlineLevel="0" collapsed="false">
      <c r="A171" s="55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</row>
    <row r="172" customFormat="false" ht="15.75" hidden="false" customHeight="true" outlineLevel="0" collapsed="false">
      <c r="A172" s="55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</row>
    <row r="173" customFormat="false" ht="15.75" hidden="false" customHeight="true" outlineLevel="0" collapsed="false">
      <c r="A173" s="55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</row>
    <row r="174" customFormat="false" ht="15.75" hidden="false" customHeight="true" outlineLevel="0" collapsed="false">
      <c r="A174" s="55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</row>
    <row r="175" customFormat="false" ht="15.75" hidden="false" customHeight="true" outlineLevel="0" collapsed="false">
      <c r="A175" s="55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</row>
    <row r="176" customFormat="false" ht="15.75" hidden="false" customHeight="true" outlineLevel="0" collapsed="false">
      <c r="A176" s="55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</row>
    <row r="177" customFormat="false" ht="15.75" hidden="false" customHeight="true" outlineLevel="0" collapsed="false">
      <c r="A177" s="55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</row>
    <row r="178" customFormat="false" ht="15.75" hidden="false" customHeight="true" outlineLevel="0" collapsed="false">
      <c r="A178" s="55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</row>
    <row r="179" customFormat="false" ht="15.75" hidden="false" customHeight="true" outlineLevel="0" collapsed="false">
      <c r="A179" s="55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</row>
    <row r="180" customFormat="false" ht="15.75" hidden="false" customHeight="true" outlineLevel="0" collapsed="false">
      <c r="A180" s="55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</row>
    <row r="181" customFormat="false" ht="15.75" hidden="false" customHeight="true" outlineLevel="0" collapsed="false">
      <c r="A181" s="55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</row>
    <row r="182" customFormat="false" ht="15.75" hidden="false" customHeight="true" outlineLevel="0" collapsed="false">
      <c r="A182" s="55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</row>
    <row r="183" customFormat="false" ht="15.75" hidden="false" customHeight="true" outlineLevel="0" collapsed="false">
      <c r="A183" s="55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</row>
    <row r="184" customFormat="false" ht="15.75" hidden="false" customHeight="true" outlineLevel="0" collapsed="false">
      <c r="A184" s="55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</row>
    <row r="185" customFormat="false" ht="15.75" hidden="false" customHeight="true" outlineLevel="0" collapsed="false">
      <c r="A185" s="55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</row>
    <row r="186" customFormat="false" ht="15.75" hidden="false" customHeight="true" outlineLevel="0" collapsed="false">
      <c r="A186" s="55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</row>
    <row r="187" customFormat="false" ht="15.75" hidden="false" customHeight="true" outlineLevel="0" collapsed="false">
      <c r="A187" s="55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</row>
    <row r="188" customFormat="false" ht="15.75" hidden="false" customHeight="true" outlineLevel="0" collapsed="false">
      <c r="A188" s="55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</row>
    <row r="189" customFormat="false" ht="15.75" hidden="false" customHeight="true" outlineLevel="0" collapsed="false">
      <c r="A189" s="55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</row>
    <row r="190" customFormat="false" ht="15.75" hidden="false" customHeight="true" outlineLevel="0" collapsed="false">
      <c r="A190" s="55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</row>
    <row r="191" customFormat="false" ht="15.75" hidden="false" customHeight="true" outlineLevel="0" collapsed="false">
      <c r="A191" s="55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</row>
    <row r="192" customFormat="false" ht="15.75" hidden="false" customHeight="true" outlineLevel="0" collapsed="false">
      <c r="A192" s="55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</row>
    <row r="193" customFormat="false" ht="15.75" hidden="false" customHeight="true" outlineLevel="0" collapsed="false">
      <c r="A193" s="55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</row>
    <row r="194" customFormat="false" ht="15.75" hidden="false" customHeight="true" outlineLevel="0" collapsed="false">
      <c r="A194" s="55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</row>
    <row r="195" customFormat="false" ht="15.75" hidden="false" customHeight="true" outlineLevel="0" collapsed="false">
      <c r="A195" s="55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</row>
    <row r="196" customFormat="false" ht="15.75" hidden="false" customHeight="true" outlineLevel="0" collapsed="false">
      <c r="A196" s="55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</row>
    <row r="197" customFormat="false" ht="15.75" hidden="false" customHeight="true" outlineLevel="0" collapsed="false">
      <c r="A197" s="55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</row>
    <row r="198" customFormat="false" ht="15.75" hidden="false" customHeight="true" outlineLevel="0" collapsed="false">
      <c r="A198" s="55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</row>
    <row r="199" customFormat="false" ht="15.75" hidden="false" customHeight="true" outlineLevel="0" collapsed="false">
      <c r="A199" s="55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</row>
    <row r="200" customFormat="false" ht="15.75" hidden="false" customHeight="true" outlineLevel="0" collapsed="false">
      <c r="A200" s="55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</row>
    <row r="201" customFormat="false" ht="15.75" hidden="false" customHeight="true" outlineLevel="0" collapsed="false">
      <c r="A201" s="55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</row>
    <row r="202" customFormat="false" ht="15.75" hidden="false" customHeight="true" outlineLevel="0" collapsed="false">
      <c r="A202" s="55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</row>
    <row r="203" customFormat="false" ht="15.75" hidden="false" customHeight="true" outlineLevel="0" collapsed="false">
      <c r="A203" s="55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</row>
    <row r="204" customFormat="false" ht="15.75" hidden="false" customHeight="true" outlineLevel="0" collapsed="false">
      <c r="A204" s="55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</row>
    <row r="205" customFormat="false" ht="15.75" hidden="false" customHeight="true" outlineLevel="0" collapsed="false">
      <c r="A205" s="55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</row>
    <row r="206" customFormat="false" ht="15.75" hidden="false" customHeight="true" outlineLevel="0" collapsed="false">
      <c r="A206" s="55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</row>
    <row r="207" customFormat="false" ht="15.75" hidden="false" customHeight="true" outlineLevel="0" collapsed="false">
      <c r="A207" s="55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</row>
    <row r="208" customFormat="false" ht="15.75" hidden="false" customHeight="true" outlineLevel="0" collapsed="false">
      <c r="A208" s="55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</row>
    <row r="209" customFormat="false" ht="15.75" hidden="false" customHeight="true" outlineLevel="0" collapsed="false">
      <c r="A209" s="55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</row>
    <row r="210" customFormat="false" ht="15.75" hidden="false" customHeight="true" outlineLevel="0" collapsed="false">
      <c r="A210" s="55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</row>
    <row r="211" customFormat="false" ht="15.75" hidden="false" customHeight="true" outlineLevel="0" collapsed="false">
      <c r="A211" s="55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</row>
    <row r="212" customFormat="false" ht="15.75" hidden="false" customHeight="true" outlineLevel="0" collapsed="false">
      <c r="A212" s="55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</row>
    <row r="213" customFormat="false" ht="15.75" hidden="false" customHeight="true" outlineLevel="0" collapsed="false">
      <c r="A213" s="55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</row>
    <row r="214" customFormat="false" ht="15.75" hidden="false" customHeight="true" outlineLevel="0" collapsed="false">
      <c r="A214" s="55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</row>
    <row r="215" customFormat="false" ht="15.75" hidden="false" customHeight="true" outlineLevel="0" collapsed="false">
      <c r="A215" s="55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</row>
    <row r="216" customFormat="false" ht="15.75" hidden="false" customHeight="true" outlineLevel="0" collapsed="false">
      <c r="A216" s="55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</row>
    <row r="217" customFormat="false" ht="15.75" hidden="false" customHeight="true" outlineLevel="0" collapsed="false">
      <c r="A217" s="55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</row>
    <row r="218" customFormat="false" ht="15.75" hidden="false" customHeight="true" outlineLevel="0" collapsed="false">
      <c r="A218" s="55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</row>
    <row r="219" customFormat="false" ht="15.75" hidden="false" customHeight="true" outlineLevel="0" collapsed="false">
      <c r="A219" s="55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</row>
    <row r="220" customFormat="false" ht="15.75" hidden="false" customHeight="true" outlineLevel="0" collapsed="false">
      <c r="A220" s="55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</row>
    <row r="221" customFormat="false" ht="15.75" hidden="false" customHeight="true" outlineLevel="0" collapsed="false">
      <c r="A221" s="55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</row>
    <row r="222" customFormat="false" ht="15.75" hidden="false" customHeight="true" outlineLevel="0" collapsed="false">
      <c r="A222" s="55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</row>
    <row r="223" customFormat="false" ht="15.75" hidden="false" customHeight="true" outlineLevel="0" collapsed="false">
      <c r="A223" s="55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</row>
    <row r="224" customFormat="false" ht="15.7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</row>
    <row r="225" customFormat="false" ht="15.75" hidden="false" customHeight="true" outlineLevel="0" collapsed="false">
      <c r="A225" s="55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</row>
    <row r="226" customFormat="false" ht="15.75" hidden="false" customHeight="true" outlineLevel="0" collapsed="false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</row>
    <row r="227" customFormat="false" ht="15.75" hidden="false" customHeight="true" outlineLevel="0" collapsed="false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</row>
    <row r="228" customFormat="false" ht="15.75" hidden="false" customHeight="true" outlineLevel="0" collapsed="false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</row>
    <row r="229" customFormat="false" ht="15.75" hidden="false" customHeight="true" outlineLevel="0" collapsed="false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</row>
    <row r="230" customFormat="false" ht="15.75" hidden="false" customHeight="true" outlineLevel="0" collapsed="false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</row>
    <row r="231" customFormat="false" ht="15.75" hidden="false" customHeight="true" outlineLevel="0" collapsed="false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</row>
    <row r="232" customFormat="false" ht="15.75" hidden="false" customHeight="true" outlineLevel="0" collapsed="false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</row>
    <row r="233" customFormat="false" ht="15.75" hidden="false" customHeight="true" outlineLevel="0" collapsed="false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</row>
    <row r="234" customFormat="false" ht="15.75" hidden="false" customHeight="true" outlineLevel="0" collapsed="false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</row>
    <row r="235" customFormat="false" ht="15.75" hidden="false" customHeight="true" outlineLevel="0" collapsed="false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</row>
    <row r="236" customFormat="false" ht="15.75" hidden="false" customHeight="true" outlineLevel="0" collapsed="false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</row>
    <row r="237" customFormat="false" ht="15.75" hidden="false" customHeight="true" outlineLevel="0" collapsed="false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</row>
    <row r="238" customFormat="false" ht="15.75" hidden="false" customHeight="true" outlineLevel="0" collapsed="false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</row>
    <row r="239" customFormat="false" ht="15.75" hidden="false" customHeight="true" outlineLevel="0" collapsed="false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</row>
    <row r="240" customFormat="false" ht="15.75" hidden="false" customHeight="true" outlineLevel="0" collapsed="false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</row>
    <row r="241" customFormat="false" ht="15.75" hidden="false" customHeight="true" outlineLevel="0" collapsed="false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</row>
    <row r="242" customFormat="false" ht="15.75" hidden="false" customHeight="true" outlineLevel="0" collapsed="false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</row>
    <row r="243" customFormat="false" ht="15.75" hidden="false" customHeight="true" outlineLevel="0" collapsed="false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</row>
    <row r="244" customFormat="false" ht="15.75" hidden="false" customHeight="true" outlineLevel="0" collapsed="false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</row>
    <row r="245" customFormat="false" ht="15.75" hidden="false" customHeight="true" outlineLevel="0" collapsed="false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</row>
    <row r="246" customFormat="false" ht="15.75" hidden="false" customHeight="true" outlineLevel="0" collapsed="false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</row>
    <row r="247" customFormat="false" ht="15.75" hidden="false" customHeight="true" outlineLevel="0" collapsed="false">
      <c r="A247" s="55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</row>
    <row r="248" customFormat="false" ht="15.75" hidden="false" customHeight="true" outlineLevel="0" collapsed="false">
      <c r="A248" s="55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</row>
    <row r="249" customFormat="false" ht="15.75" hidden="false" customHeight="true" outlineLevel="0" collapsed="false">
      <c r="A249" s="55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</row>
    <row r="250" customFormat="false" ht="15.75" hidden="false" customHeight="true" outlineLevel="0" collapsed="false">
      <c r="A250" s="55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</row>
    <row r="251" customFormat="false" ht="15.75" hidden="false" customHeight="true" outlineLevel="0" collapsed="false">
      <c r="A251" s="55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</row>
    <row r="252" customFormat="false" ht="15.75" hidden="false" customHeight="true" outlineLevel="0" collapsed="false">
      <c r="A252" s="55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</row>
    <row r="253" customFormat="false" ht="15.75" hidden="false" customHeight="true" outlineLevel="0" collapsed="false">
      <c r="A253" s="55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</row>
    <row r="254" customFormat="false" ht="15.75" hidden="false" customHeight="true" outlineLevel="0" collapsed="false">
      <c r="A254" s="55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</row>
    <row r="255" customFormat="false" ht="15.75" hidden="false" customHeight="true" outlineLevel="0" collapsed="false">
      <c r="A255" s="55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</row>
    <row r="256" customFormat="false" ht="15.75" hidden="false" customHeight="true" outlineLevel="0" collapsed="false">
      <c r="A256" s="55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</row>
    <row r="257" customFormat="false" ht="15.75" hidden="false" customHeight="true" outlineLevel="0" collapsed="false">
      <c r="A257" s="55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</row>
    <row r="258" customFormat="false" ht="15.75" hidden="false" customHeight="true" outlineLevel="0" collapsed="false">
      <c r="A258" s="55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</row>
    <row r="259" customFormat="false" ht="15.75" hidden="false" customHeight="true" outlineLevel="0" collapsed="false">
      <c r="A259" s="55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</row>
    <row r="260" customFormat="false" ht="15.75" hidden="false" customHeight="true" outlineLevel="0" collapsed="false">
      <c r="A260" s="55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</row>
    <row r="261" customFormat="false" ht="15.75" hidden="false" customHeight="true" outlineLevel="0" collapsed="false">
      <c r="A261" s="55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</row>
    <row r="262" customFormat="false" ht="15.75" hidden="false" customHeight="true" outlineLevel="0" collapsed="false">
      <c r="A262" s="55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</row>
    <row r="263" customFormat="false" ht="15.75" hidden="false" customHeight="true" outlineLevel="0" collapsed="false">
      <c r="A263" s="55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</row>
    <row r="264" customFormat="false" ht="15.75" hidden="false" customHeight="true" outlineLevel="0" collapsed="false">
      <c r="A264" s="55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</row>
    <row r="265" customFormat="false" ht="15.75" hidden="false" customHeight="true" outlineLevel="0" collapsed="false">
      <c r="A265" s="55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</row>
    <row r="266" customFormat="false" ht="15.75" hidden="false" customHeight="true" outlineLevel="0" collapsed="false">
      <c r="A266" s="55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</row>
    <row r="267" customFormat="false" ht="15.75" hidden="false" customHeight="true" outlineLevel="0" collapsed="false">
      <c r="A267" s="55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</row>
    <row r="268" customFormat="false" ht="15.75" hidden="false" customHeight="true" outlineLevel="0" collapsed="false">
      <c r="A268" s="55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</row>
    <row r="269" customFormat="false" ht="15.75" hidden="false" customHeight="true" outlineLevel="0" collapsed="false">
      <c r="A269" s="55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</row>
    <row r="270" customFormat="false" ht="15.75" hidden="false" customHeight="true" outlineLevel="0" collapsed="false">
      <c r="A270" s="55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</row>
    <row r="271" customFormat="false" ht="15.75" hidden="false" customHeight="true" outlineLevel="0" collapsed="false">
      <c r="A271" s="55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</row>
    <row r="272" customFormat="false" ht="15.75" hidden="false" customHeight="true" outlineLevel="0" collapsed="false">
      <c r="A272" s="55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</row>
    <row r="273" customFormat="false" ht="15.75" hidden="false" customHeight="true" outlineLevel="0" collapsed="false">
      <c r="A273" s="55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</row>
    <row r="274" customFormat="false" ht="15.75" hidden="false" customHeight="true" outlineLevel="0" collapsed="false">
      <c r="A274" s="55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</row>
    <row r="275" customFormat="false" ht="15.75" hidden="false" customHeight="true" outlineLevel="0" collapsed="false">
      <c r="A275" s="55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</row>
    <row r="276" customFormat="false" ht="15.75" hidden="false" customHeight="true" outlineLevel="0" collapsed="false">
      <c r="A276" s="55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</row>
    <row r="277" customFormat="false" ht="15.75" hidden="false" customHeight="true" outlineLevel="0" collapsed="false">
      <c r="A277" s="55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</row>
    <row r="278" customFormat="false" ht="15.75" hidden="false" customHeight="true" outlineLevel="0" collapsed="false">
      <c r="A278" s="55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</row>
    <row r="279" customFormat="false" ht="15.75" hidden="false" customHeight="true" outlineLevel="0" collapsed="false">
      <c r="A279" s="55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</row>
    <row r="280" customFormat="false" ht="15.75" hidden="false" customHeight="true" outlineLevel="0" collapsed="false">
      <c r="A280" s="55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</row>
    <row r="281" customFormat="false" ht="15.75" hidden="false" customHeight="true" outlineLevel="0" collapsed="false">
      <c r="A281" s="55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</row>
    <row r="282" customFormat="false" ht="15.75" hidden="false" customHeight="true" outlineLevel="0" collapsed="false">
      <c r="A282" s="55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</row>
    <row r="283" customFormat="false" ht="15.75" hidden="false" customHeight="true" outlineLevel="0" collapsed="false">
      <c r="A283" s="55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</row>
    <row r="284" customFormat="false" ht="15.75" hidden="false" customHeight="true" outlineLevel="0" collapsed="false">
      <c r="A284" s="55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</row>
    <row r="285" customFormat="false" ht="15.75" hidden="false" customHeight="true" outlineLevel="0" collapsed="false">
      <c r="A285" s="55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</row>
    <row r="286" customFormat="false" ht="15.75" hidden="false" customHeight="true" outlineLevel="0" collapsed="false">
      <c r="A286" s="55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</row>
    <row r="287" customFormat="false" ht="15.75" hidden="false" customHeight="true" outlineLevel="0" collapsed="false">
      <c r="A287" s="55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</row>
    <row r="288" customFormat="false" ht="15.75" hidden="false" customHeight="true" outlineLevel="0" collapsed="false">
      <c r="A288" s="55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</row>
    <row r="289" customFormat="false" ht="15.75" hidden="false" customHeight="true" outlineLevel="0" collapsed="false">
      <c r="A289" s="55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</row>
    <row r="290" customFormat="false" ht="15.75" hidden="false" customHeight="true" outlineLevel="0" collapsed="false">
      <c r="A290" s="55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</row>
    <row r="291" customFormat="false" ht="15.75" hidden="false" customHeight="true" outlineLevel="0" collapsed="false">
      <c r="A291" s="55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</row>
    <row r="292" customFormat="false" ht="15.75" hidden="false" customHeight="true" outlineLevel="0" collapsed="false">
      <c r="A292" s="55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</row>
    <row r="293" customFormat="false" ht="15.75" hidden="false" customHeight="true" outlineLevel="0" collapsed="false">
      <c r="A293" s="55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</row>
    <row r="294" customFormat="false" ht="15.75" hidden="false" customHeight="true" outlineLevel="0" collapsed="false">
      <c r="A294" s="55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</row>
    <row r="295" customFormat="false" ht="15.75" hidden="false" customHeight="true" outlineLevel="0" collapsed="false">
      <c r="A295" s="55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</row>
    <row r="296" customFormat="false" ht="15.75" hidden="false" customHeight="true" outlineLevel="0" collapsed="false">
      <c r="A296" s="55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</row>
    <row r="297" customFormat="false" ht="15.75" hidden="false" customHeight="true" outlineLevel="0" collapsed="false">
      <c r="A297" s="55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</row>
    <row r="298" customFormat="false" ht="15.75" hidden="false" customHeight="true" outlineLevel="0" collapsed="false">
      <c r="A298" s="55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</row>
    <row r="299" customFormat="false" ht="15.75" hidden="false" customHeight="true" outlineLevel="0" collapsed="false">
      <c r="A299" s="55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</row>
    <row r="300" customFormat="false" ht="15.75" hidden="false" customHeight="true" outlineLevel="0" collapsed="false">
      <c r="A300" s="55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</row>
    <row r="301" customFormat="false" ht="15.75" hidden="false" customHeight="true" outlineLevel="0" collapsed="false">
      <c r="A301" s="55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</row>
    <row r="302" customFormat="false" ht="15.75" hidden="false" customHeight="true" outlineLevel="0" collapsed="false">
      <c r="A302" s="55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</row>
    <row r="303" customFormat="false" ht="15.75" hidden="false" customHeight="true" outlineLevel="0" collapsed="false">
      <c r="A303" s="55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</row>
    <row r="304" customFormat="false" ht="15.75" hidden="false" customHeight="true" outlineLevel="0" collapsed="false">
      <c r="A304" s="55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</row>
    <row r="305" customFormat="false" ht="15.75" hidden="false" customHeight="true" outlineLevel="0" collapsed="false">
      <c r="A305" s="55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</row>
    <row r="306" customFormat="false" ht="15.75" hidden="false" customHeight="true" outlineLevel="0" collapsed="false">
      <c r="A306" s="55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</row>
    <row r="307" customFormat="false" ht="15.75" hidden="false" customHeight="true" outlineLevel="0" collapsed="false">
      <c r="A307" s="55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</row>
    <row r="308" customFormat="false" ht="15.75" hidden="false" customHeight="true" outlineLevel="0" collapsed="false">
      <c r="A308" s="55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</row>
    <row r="309" customFormat="false" ht="15.75" hidden="false" customHeight="true" outlineLevel="0" collapsed="false">
      <c r="A309" s="55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</row>
    <row r="310" customFormat="false" ht="15.75" hidden="false" customHeight="true" outlineLevel="0" collapsed="false">
      <c r="A310" s="55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</row>
    <row r="311" customFormat="false" ht="15.75" hidden="false" customHeight="true" outlineLevel="0" collapsed="false">
      <c r="A311" s="55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</row>
    <row r="312" customFormat="false" ht="15.75" hidden="false" customHeight="true" outlineLevel="0" collapsed="false">
      <c r="A312" s="55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</row>
    <row r="313" customFormat="false" ht="15.75" hidden="false" customHeight="true" outlineLevel="0" collapsed="false">
      <c r="A313" s="55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</row>
    <row r="314" customFormat="false" ht="15.75" hidden="false" customHeight="true" outlineLevel="0" collapsed="false">
      <c r="A314" s="55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</row>
    <row r="315" customFormat="false" ht="15.75" hidden="false" customHeight="true" outlineLevel="0" collapsed="false">
      <c r="A315" s="55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</row>
    <row r="316" customFormat="false" ht="15.75" hidden="false" customHeight="true" outlineLevel="0" collapsed="false">
      <c r="A316" s="55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</row>
    <row r="317" customFormat="false" ht="15.75" hidden="false" customHeight="true" outlineLevel="0" collapsed="false">
      <c r="A317" s="55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</row>
    <row r="318" customFormat="false" ht="15.75" hidden="false" customHeight="true" outlineLevel="0" collapsed="false">
      <c r="A318" s="55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</row>
    <row r="319" customFormat="false" ht="15.75" hidden="false" customHeight="true" outlineLevel="0" collapsed="false">
      <c r="A319" s="55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</row>
    <row r="320" customFormat="false" ht="15.75" hidden="false" customHeight="true" outlineLevel="0" collapsed="false">
      <c r="A320" s="55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</row>
    <row r="321" customFormat="false" ht="15.75" hidden="false" customHeight="true" outlineLevel="0" collapsed="false">
      <c r="A321" s="55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</row>
    <row r="322" customFormat="false" ht="15.75" hidden="false" customHeight="true" outlineLevel="0" collapsed="false">
      <c r="A322" s="55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</row>
    <row r="323" customFormat="false" ht="15.75" hidden="false" customHeight="true" outlineLevel="0" collapsed="false">
      <c r="A323" s="55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</row>
    <row r="324" customFormat="false" ht="15.75" hidden="false" customHeight="true" outlineLevel="0" collapsed="false">
      <c r="A324" s="55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</row>
    <row r="325" customFormat="false" ht="15.75" hidden="false" customHeight="true" outlineLevel="0" collapsed="false">
      <c r="A325" s="55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</row>
    <row r="326" customFormat="false" ht="15.75" hidden="false" customHeight="true" outlineLevel="0" collapsed="false">
      <c r="A326" s="55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</row>
    <row r="327" customFormat="false" ht="15.75" hidden="false" customHeight="true" outlineLevel="0" collapsed="false">
      <c r="A327" s="55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</row>
    <row r="328" customFormat="false" ht="15.75" hidden="false" customHeight="true" outlineLevel="0" collapsed="false">
      <c r="A328" s="55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</row>
    <row r="329" customFormat="false" ht="15.75" hidden="false" customHeight="true" outlineLevel="0" collapsed="false">
      <c r="A329" s="55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</row>
    <row r="330" customFormat="false" ht="15.75" hidden="false" customHeight="true" outlineLevel="0" collapsed="false">
      <c r="A330" s="55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</row>
    <row r="331" customFormat="false" ht="15.75" hidden="false" customHeight="true" outlineLevel="0" collapsed="false">
      <c r="A331" s="55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</row>
    <row r="332" customFormat="false" ht="15.75" hidden="false" customHeight="true" outlineLevel="0" collapsed="false">
      <c r="A332" s="55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</row>
    <row r="333" customFormat="false" ht="15.75" hidden="false" customHeight="true" outlineLevel="0" collapsed="false">
      <c r="A333" s="55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</row>
    <row r="334" customFormat="false" ht="15.75" hidden="false" customHeight="true" outlineLevel="0" collapsed="false">
      <c r="A334" s="55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</row>
    <row r="335" customFormat="false" ht="15.75" hidden="false" customHeight="true" outlineLevel="0" collapsed="false">
      <c r="A335" s="55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</row>
    <row r="336" customFormat="false" ht="15.75" hidden="false" customHeight="true" outlineLevel="0" collapsed="false">
      <c r="A336" s="55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</row>
    <row r="337" customFormat="false" ht="15.75" hidden="false" customHeight="true" outlineLevel="0" collapsed="false">
      <c r="A337" s="55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</row>
    <row r="338" customFormat="false" ht="15.75" hidden="false" customHeight="true" outlineLevel="0" collapsed="false">
      <c r="A338" s="55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</row>
    <row r="339" customFormat="false" ht="15.75" hidden="false" customHeight="true" outlineLevel="0" collapsed="false">
      <c r="A339" s="55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</row>
    <row r="340" customFormat="false" ht="15.75" hidden="false" customHeight="true" outlineLevel="0" collapsed="false">
      <c r="A340" s="55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</row>
    <row r="341" customFormat="false" ht="15.75" hidden="false" customHeight="true" outlineLevel="0" collapsed="false">
      <c r="A341" s="55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</row>
    <row r="342" customFormat="false" ht="15.75" hidden="false" customHeight="true" outlineLevel="0" collapsed="false">
      <c r="A342" s="55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</row>
    <row r="343" customFormat="false" ht="15.75" hidden="false" customHeight="true" outlineLevel="0" collapsed="false">
      <c r="A343" s="55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</row>
    <row r="344" customFormat="false" ht="15.75" hidden="false" customHeight="true" outlineLevel="0" collapsed="false">
      <c r="A344" s="55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</row>
    <row r="345" customFormat="false" ht="15.75" hidden="false" customHeight="true" outlineLevel="0" collapsed="false">
      <c r="A345" s="55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</row>
    <row r="346" customFormat="false" ht="15.75" hidden="false" customHeight="true" outlineLevel="0" collapsed="false">
      <c r="A346" s="55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</row>
    <row r="347" customFormat="false" ht="15.75" hidden="false" customHeight="true" outlineLevel="0" collapsed="false">
      <c r="A347" s="55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</row>
    <row r="348" customFormat="false" ht="15.75" hidden="false" customHeight="true" outlineLevel="0" collapsed="false">
      <c r="A348" s="55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</row>
    <row r="349" customFormat="false" ht="15.75" hidden="false" customHeight="true" outlineLevel="0" collapsed="false">
      <c r="A349" s="55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</row>
    <row r="350" customFormat="false" ht="15.75" hidden="false" customHeight="true" outlineLevel="0" collapsed="false">
      <c r="A350" s="55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</row>
    <row r="351" customFormat="false" ht="15.75" hidden="false" customHeight="true" outlineLevel="0" collapsed="false">
      <c r="A351" s="55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</row>
    <row r="352" customFormat="false" ht="15.75" hidden="false" customHeight="true" outlineLevel="0" collapsed="false">
      <c r="A352" s="55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</row>
    <row r="353" customFormat="false" ht="15.75" hidden="false" customHeight="true" outlineLevel="0" collapsed="false">
      <c r="A353" s="55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</row>
    <row r="354" customFormat="false" ht="15.75" hidden="false" customHeight="true" outlineLevel="0" collapsed="false">
      <c r="A354" s="55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</row>
    <row r="355" customFormat="false" ht="15.75" hidden="false" customHeight="true" outlineLevel="0" collapsed="false">
      <c r="A355" s="55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</row>
    <row r="356" customFormat="false" ht="15.75" hidden="false" customHeight="true" outlineLevel="0" collapsed="false">
      <c r="A356" s="55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</row>
    <row r="357" customFormat="false" ht="15.75" hidden="false" customHeight="true" outlineLevel="0" collapsed="false">
      <c r="A357" s="55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</row>
    <row r="358" customFormat="false" ht="15.75" hidden="false" customHeight="true" outlineLevel="0" collapsed="false">
      <c r="A358" s="55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</row>
    <row r="359" customFormat="false" ht="15.75" hidden="false" customHeight="true" outlineLevel="0" collapsed="false">
      <c r="A359" s="55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</row>
    <row r="360" customFormat="false" ht="15.75" hidden="false" customHeight="true" outlineLevel="0" collapsed="false">
      <c r="A360" s="55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</row>
    <row r="361" customFormat="false" ht="15.75" hidden="false" customHeight="true" outlineLevel="0" collapsed="false">
      <c r="A361" s="55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</row>
    <row r="362" customFormat="false" ht="15.75" hidden="false" customHeight="true" outlineLevel="0" collapsed="false">
      <c r="A362" s="55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</row>
    <row r="363" customFormat="false" ht="15.75" hidden="false" customHeight="true" outlineLevel="0" collapsed="false">
      <c r="A363" s="55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</row>
    <row r="364" customFormat="false" ht="15.75" hidden="false" customHeight="true" outlineLevel="0" collapsed="false">
      <c r="A364" s="55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</row>
    <row r="365" customFormat="false" ht="15.75" hidden="false" customHeight="true" outlineLevel="0" collapsed="false">
      <c r="A365" s="55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</row>
    <row r="366" customFormat="false" ht="15.75" hidden="false" customHeight="true" outlineLevel="0" collapsed="false">
      <c r="A366" s="55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</row>
    <row r="367" customFormat="false" ht="15.75" hidden="false" customHeight="true" outlineLevel="0" collapsed="false">
      <c r="A367" s="55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</row>
    <row r="368" customFormat="false" ht="15.75" hidden="false" customHeight="true" outlineLevel="0" collapsed="false">
      <c r="A368" s="55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</row>
    <row r="369" customFormat="false" ht="15.75" hidden="false" customHeight="true" outlineLevel="0" collapsed="false">
      <c r="A369" s="55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</row>
    <row r="370" customFormat="false" ht="15.75" hidden="false" customHeight="true" outlineLevel="0" collapsed="false">
      <c r="A370" s="55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</row>
    <row r="371" customFormat="false" ht="15.75" hidden="false" customHeight="true" outlineLevel="0" collapsed="false">
      <c r="A371" s="55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</row>
    <row r="372" customFormat="false" ht="15.75" hidden="false" customHeight="true" outlineLevel="0" collapsed="false">
      <c r="A372" s="55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</row>
    <row r="373" customFormat="false" ht="15.75" hidden="false" customHeight="true" outlineLevel="0" collapsed="false">
      <c r="A373" s="55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</row>
    <row r="374" customFormat="false" ht="15.75" hidden="false" customHeight="true" outlineLevel="0" collapsed="false">
      <c r="A374" s="55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</row>
    <row r="375" customFormat="false" ht="15.75" hidden="false" customHeight="true" outlineLevel="0" collapsed="false">
      <c r="A375" s="55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</row>
    <row r="376" customFormat="false" ht="15.75" hidden="false" customHeight="true" outlineLevel="0" collapsed="false">
      <c r="A376" s="55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</row>
    <row r="377" customFormat="false" ht="15.75" hidden="false" customHeight="true" outlineLevel="0" collapsed="false">
      <c r="A377" s="55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</row>
    <row r="378" customFormat="false" ht="15.75" hidden="false" customHeight="true" outlineLevel="0" collapsed="false">
      <c r="A378" s="55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</row>
    <row r="379" customFormat="false" ht="15.75" hidden="false" customHeight="true" outlineLevel="0" collapsed="false">
      <c r="A379" s="55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</row>
    <row r="380" customFormat="false" ht="15.75" hidden="false" customHeight="true" outlineLevel="0" collapsed="false">
      <c r="A380" s="55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</row>
    <row r="381" customFormat="false" ht="15.75" hidden="false" customHeight="true" outlineLevel="0" collapsed="false">
      <c r="A381" s="55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</row>
    <row r="382" customFormat="false" ht="15.75" hidden="false" customHeight="true" outlineLevel="0" collapsed="false">
      <c r="A382" s="55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</row>
    <row r="383" customFormat="false" ht="15.75" hidden="false" customHeight="true" outlineLevel="0" collapsed="false">
      <c r="A383" s="55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</row>
    <row r="384" customFormat="false" ht="15.75" hidden="false" customHeight="true" outlineLevel="0" collapsed="false">
      <c r="A384" s="55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</row>
    <row r="385" customFormat="false" ht="15.75" hidden="false" customHeight="true" outlineLevel="0" collapsed="false">
      <c r="A385" s="55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</row>
    <row r="386" customFormat="false" ht="15.75" hidden="false" customHeight="true" outlineLevel="0" collapsed="false">
      <c r="A386" s="55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</row>
    <row r="387" customFormat="false" ht="15.75" hidden="false" customHeight="true" outlineLevel="0" collapsed="false">
      <c r="A387" s="55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</row>
    <row r="388" customFormat="false" ht="15.75" hidden="false" customHeight="true" outlineLevel="0" collapsed="false">
      <c r="A388" s="55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</row>
    <row r="389" customFormat="false" ht="15.75" hidden="false" customHeight="true" outlineLevel="0" collapsed="false">
      <c r="A389" s="55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</row>
    <row r="390" customFormat="false" ht="15.75" hidden="false" customHeight="true" outlineLevel="0" collapsed="false">
      <c r="A390" s="55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</row>
    <row r="391" customFormat="false" ht="15.75" hidden="false" customHeight="true" outlineLevel="0" collapsed="false">
      <c r="A391" s="55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</row>
    <row r="392" customFormat="false" ht="15.75" hidden="false" customHeight="true" outlineLevel="0" collapsed="false">
      <c r="A392" s="55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</row>
    <row r="393" customFormat="false" ht="15.75" hidden="false" customHeight="true" outlineLevel="0" collapsed="false">
      <c r="A393" s="55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</row>
    <row r="394" customFormat="false" ht="15.75" hidden="false" customHeight="true" outlineLevel="0" collapsed="false">
      <c r="A394" s="55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</row>
    <row r="395" customFormat="false" ht="15.75" hidden="false" customHeight="true" outlineLevel="0" collapsed="false">
      <c r="A395" s="55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</row>
    <row r="396" customFormat="false" ht="15.75" hidden="false" customHeight="true" outlineLevel="0" collapsed="false">
      <c r="A396" s="55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</row>
    <row r="397" customFormat="false" ht="15.75" hidden="false" customHeight="true" outlineLevel="0" collapsed="false">
      <c r="A397" s="55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</row>
    <row r="398" customFormat="false" ht="15.75" hidden="false" customHeight="true" outlineLevel="0" collapsed="false">
      <c r="A398" s="55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</row>
    <row r="399" customFormat="false" ht="15.75" hidden="false" customHeight="true" outlineLevel="0" collapsed="false">
      <c r="A399" s="55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</row>
    <row r="400" customFormat="false" ht="15.75" hidden="false" customHeight="true" outlineLevel="0" collapsed="false">
      <c r="A400" s="55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</row>
    <row r="401" customFormat="false" ht="15.75" hidden="false" customHeight="true" outlineLevel="0" collapsed="false">
      <c r="A401" s="55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</row>
    <row r="402" customFormat="false" ht="15.75" hidden="false" customHeight="true" outlineLevel="0" collapsed="false">
      <c r="A402" s="55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</row>
    <row r="403" customFormat="false" ht="15.75" hidden="false" customHeight="true" outlineLevel="0" collapsed="false">
      <c r="A403" s="55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</row>
    <row r="404" customFormat="false" ht="15.75" hidden="false" customHeight="true" outlineLevel="0" collapsed="false">
      <c r="A404" s="55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</row>
    <row r="405" customFormat="false" ht="15.75" hidden="false" customHeight="true" outlineLevel="0" collapsed="false">
      <c r="A405" s="55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</row>
    <row r="406" customFormat="false" ht="15.75" hidden="false" customHeight="true" outlineLevel="0" collapsed="false">
      <c r="A406" s="55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</row>
    <row r="407" customFormat="false" ht="15.75" hidden="false" customHeight="true" outlineLevel="0" collapsed="false">
      <c r="A407" s="55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</row>
    <row r="408" customFormat="false" ht="15.75" hidden="false" customHeight="true" outlineLevel="0" collapsed="false">
      <c r="A408" s="55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</row>
    <row r="409" customFormat="false" ht="15.75" hidden="false" customHeight="true" outlineLevel="0" collapsed="false">
      <c r="A409" s="55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</row>
    <row r="410" customFormat="false" ht="15.75" hidden="false" customHeight="true" outlineLevel="0" collapsed="false">
      <c r="A410" s="55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</row>
    <row r="411" customFormat="false" ht="15.75" hidden="false" customHeight="true" outlineLevel="0" collapsed="false">
      <c r="A411" s="55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</row>
    <row r="412" customFormat="false" ht="15.75" hidden="false" customHeight="true" outlineLevel="0" collapsed="false">
      <c r="A412" s="55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</row>
    <row r="413" customFormat="false" ht="15.75" hidden="false" customHeight="true" outlineLevel="0" collapsed="false">
      <c r="A413" s="55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</row>
    <row r="414" customFormat="false" ht="15.75" hidden="false" customHeight="true" outlineLevel="0" collapsed="false">
      <c r="A414" s="55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</row>
    <row r="415" customFormat="false" ht="15.75" hidden="false" customHeight="true" outlineLevel="0" collapsed="false">
      <c r="A415" s="55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</row>
    <row r="416" customFormat="false" ht="15.75" hidden="false" customHeight="true" outlineLevel="0" collapsed="false">
      <c r="A416" s="55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</row>
    <row r="417" customFormat="false" ht="15.75" hidden="false" customHeight="true" outlineLevel="0" collapsed="false">
      <c r="A417" s="55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</row>
    <row r="418" customFormat="false" ht="15.75" hidden="false" customHeight="true" outlineLevel="0" collapsed="false">
      <c r="A418" s="55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</row>
    <row r="419" customFormat="false" ht="15.75" hidden="false" customHeight="true" outlineLevel="0" collapsed="false">
      <c r="A419" s="55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</row>
    <row r="420" customFormat="false" ht="15.75" hidden="false" customHeight="true" outlineLevel="0" collapsed="false">
      <c r="A420" s="55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</row>
    <row r="421" customFormat="false" ht="15.75" hidden="false" customHeight="true" outlineLevel="0" collapsed="false">
      <c r="A421" s="55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</row>
    <row r="422" customFormat="false" ht="15.75" hidden="false" customHeight="true" outlineLevel="0" collapsed="false">
      <c r="A422" s="55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</row>
    <row r="423" customFormat="false" ht="15.75" hidden="false" customHeight="true" outlineLevel="0" collapsed="false">
      <c r="A423" s="55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</row>
    <row r="424" customFormat="false" ht="15.75" hidden="false" customHeight="true" outlineLevel="0" collapsed="false">
      <c r="A424" s="55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</row>
    <row r="425" customFormat="false" ht="15.75" hidden="false" customHeight="true" outlineLevel="0" collapsed="false">
      <c r="A425" s="55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</row>
    <row r="426" customFormat="false" ht="15.75" hidden="false" customHeight="true" outlineLevel="0" collapsed="false">
      <c r="A426" s="55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</row>
    <row r="427" customFormat="false" ht="15.75" hidden="false" customHeight="true" outlineLevel="0" collapsed="false">
      <c r="A427" s="55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</row>
    <row r="428" customFormat="false" ht="15.75" hidden="false" customHeight="true" outlineLevel="0" collapsed="false">
      <c r="A428" s="55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</row>
    <row r="429" customFormat="false" ht="15.75" hidden="false" customHeight="true" outlineLevel="0" collapsed="false">
      <c r="A429" s="55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</row>
    <row r="430" customFormat="false" ht="15.75" hidden="false" customHeight="true" outlineLevel="0" collapsed="false">
      <c r="A430" s="55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</row>
    <row r="431" customFormat="false" ht="15.75" hidden="false" customHeight="true" outlineLevel="0" collapsed="false">
      <c r="A431" s="55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</row>
    <row r="432" customFormat="false" ht="15.75" hidden="false" customHeight="true" outlineLevel="0" collapsed="false">
      <c r="A432" s="55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</row>
    <row r="433" customFormat="false" ht="15.75" hidden="false" customHeight="true" outlineLevel="0" collapsed="false">
      <c r="A433" s="55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</row>
    <row r="434" customFormat="false" ht="15.75" hidden="false" customHeight="true" outlineLevel="0" collapsed="false">
      <c r="A434" s="55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</row>
    <row r="435" customFormat="false" ht="15.75" hidden="false" customHeight="true" outlineLevel="0" collapsed="false">
      <c r="A435" s="55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</row>
    <row r="436" customFormat="false" ht="15.75" hidden="false" customHeight="true" outlineLevel="0" collapsed="false">
      <c r="A436" s="55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</row>
    <row r="437" customFormat="false" ht="15.75" hidden="false" customHeight="true" outlineLevel="0" collapsed="false">
      <c r="A437" s="55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</row>
    <row r="438" customFormat="false" ht="15.75" hidden="false" customHeight="true" outlineLevel="0" collapsed="false">
      <c r="A438" s="55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</row>
    <row r="439" customFormat="false" ht="15.75" hidden="false" customHeight="true" outlineLevel="0" collapsed="false">
      <c r="A439" s="55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</row>
    <row r="440" customFormat="false" ht="15.75" hidden="false" customHeight="true" outlineLevel="0" collapsed="false">
      <c r="A440" s="55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</row>
    <row r="441" customFormat="false" ht="15.75" hidden="false" customHeight="true" outlineLevel="0" collapsed="false">
      <c r="A441" s="55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</row>
    <row r="442" customFormat="false" ht="15.75" hidden="false" customHeight="true" outlineLevel="0" collapsed="false">
      <c r="A442" s="55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</row>
    <row r="443" customFormat="false" ht="15.75" hidden="false" customHeight="true" outlineLevel="0" collapsed="false">
      <c r="A443" s="55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</row>
    <row r="444" customFormat="false" ht="15.75" hidden="false" customHeight="true" outlineLevel="0" collapsed="false">
      <c r="A444" s="55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</row>
    <row r="445" customFormat="false" ht="15.75" hidden="false" customHeight="true" outlineLevel="0" collapsed="false">
      <c r="A445" s="55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</row>
    <row r="446" customFormat="false" ht="15.75" hidden="false" customHeight="true" outlineLevel="0" collapsed="false">
      <c r="A446" s="55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</row>
    <row r="447" customFormat="false" ht="15.75" hidden="false" customHeight="true" outlineLevel="0" collapsed="false">
      <c r="A447" s="55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</row>
    <row r="448" customFormat="false" ht="15.75" hidden="false" customHeight="true" outlineLevel="0" collapsed="false">
      <c r="A448" s="55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</row>
    <row r="449" customFormat="false" ht="15.75" hidden="false" customHeight="true" outlineLevel="0" collapsed="false">
      <c r="A449" s="55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</row>
    <row r="450" customFormat="false" ht="15.75" hidden="false" customHeight="true" outlineLevel="0" collapsed="false">
      <c r="A450" s="55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</row>
    <row r="451" customFormat="false" ht="15.75" hidden="false" customHeight="true" outlineLevel="0" collapsed="false">
      <c r="A451" s="55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</row>
    <row r="452" customFormat="false" ht="15.75" hidden="false" customHeight="true" outlineLevel="0" collapsed="false">
      <c r="A452" s="55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</row>
    <row r="453" customFormat="false" ht="15.75" hidden="false" customHeight="true" outlineLevel="0" collapsed="false">
      <c r="A453" s="55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</row>
    <row r="454" customFormat="false" ht="15.75" hidden="false" customHeight="true" outlineLevel="0" collapsed="false">
      <c r="A454" s="55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</row>
    <row r="455" customFormat="false" ht="15.75" hidden="false" customHeight="true" outlineLevel="0" collapsed="false">
      <c r="A455" s="55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</row>
    <row r="456" customFormat="false" ht="15.75" hidden="false" customHeight="true" outlineLevel="0" collapsed="false">
      <c r="A456" s="55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</row>
    <row r="457" customFormat="false" ht="15.75" hidden="false" customHeight="true" outlineLevel="0" collapsed="false">
      <c r="A457" s="55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</row>
    <row r="458" customFormat="false" ht="15.75" hidden="false" customHeight="true" outlineLevel="0" collapsed="false">
      <c r="A458" s="55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</row>
    <row r="459" customFormat="false" ht="15.75" hidden="false" customHeight="true" outlineLevel="0" collapsed="false">
      <c r="A459" s="55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</row>
    <row r="460" customFormat="false" ht="15.75" hidden="false" customHeight="true" outlineLevel="0" collapsed="false">
      <c r="A460" s="55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</row>
    <row r="461" customFormat="false" ht="15.75" hidden="false" customHeight="true" outlineLevel="0" collapsed="false">
      <c r="A461" s="55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</row>
    <row r="462" customFormat="false" ht="15.75" hidden="false" customHeight="true" outlineLevel="0" collapsed="false">
      <c r="A462" s="55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</row>
    <row r="463" customFormat="false" ht="15.75" hidden="false" customHeight="true" outlineLevel="0" collapsed="false">
      <c r="A463" s="55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</row>
    <row r="464" customFormat="false" ht="15.75" hidden="false" customHeight="true" outlineLevel="0" collapsed="false">
      <c r="A464" s="55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</row>
    <row r="465" customFormat="false" ht="15.75" hidden="false" customHeight="true" outlineLevel="0" collapsed="false">
      <c r="A465" s="55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</row>
    <row r="466" customFormat="false" ht="15.75" hidden="false" customHeight="true" outlineLevel="0" collapsed="false">
      <c r="A466" s="55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</row>
    <row r="467" customFormat="false" ht="15.75" hidden="false" customHeight="true" outlineLevel="0" collapsed="false">
      <c r="A467" s="55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</row>
    <row r="468" customFormat="false" ht="15.75" hidden="false" customHeight="true" outlineLevel="0" collapsed="false">
      <c r="A468" s="55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</row>
    <row r="469" customFormat="false" ht="15.75" hidden="false" customHeight="true" outlineLevel="0" collapsed="false">
      <c r="A469" s="55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</row>
    <row r="470" customFormat="false" ht="15.75" hidden="false" customHeight="true" outlineLevel="0" collapsed="false">
      <c r="A470" s="55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</row>
    <row r="471" customFormat="false" ht="15.75" hidden="false" customHeight="true" outlineLevel="0" collapsed="false">
      <c r="A471" s="55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</row>
    <row r="472" customFormat="false" ht="15.75" hidden="false" customHeight="true" outlineLevel="0" collapsed="false">
      <c r="A472" s="55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</row>
    <row r="473" customFormat="false" ht="15.75" hidden="false" customHeight="true" outlineLevel="0" collapsed="false">
      <c r="A473" s="55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</row>
    <row r="474" customFormat="false" ht="15.75" hidden="false" customHeight="true" outlineLevel="0" collapsed="false">
      <c r="A474" s="55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</row>
    <row r="475" customFormat="false" ht="15.75" hidden="false" customHeight="true" outlineLevel="0" collapsed="false">
      <c r="A475" s="55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</row>
    <row r="476" customFormat="false" ht="15.75" hidden="false" customHeight="true" outlineLevel="0" collapsed="false">
      <c r="A476" s="55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</row>
    <row r="477" customFormat="false" ht="15.75" hidden="false" customHeight="true" outlineLevel="0" collapsed="false">
      <c r="A477" s="55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</row>
    <row r="478" customFormat="false" ht="15.75" hidden="false" customHeight="true" outlineLevel="0" collapsed="false">
      <c r="A478" s="55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</row>
    <row r="479" customFormat="false" ht="15.75" hidden="false" customHeight="true" outlineLevel="0" collapsed="false">
      <c r="A479" s="55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</row>
    <row r="480" customFormat="false" ht="15.75" hidden="false" customHeight="true" outlineLevel="0" collapsed="false">
      <c r="A480" s="55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</row>
    <row r="481" customFormat="false" ht="15.75" hidden="false" customHeight="true" outlineLevel="0" collapsed="false">
      <c r="A481" s="55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</row>
    <row r="482" customFormat="false" ht="15.75" hidden="false" customHeight="true" outlineLevel="0" collapsed="false">
      <c r="A482" s="55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</row>
    <row r="483" customFormat="false" ht="15.75" hidden="false" customHeight="true" outlineLevel="0" collapsed="false">
      <c r="A483" s="55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</row>
    <row r="484" customFormat="false" ht="15.75" hidden="false" customHeight="true" outlineLevel="0" collapsed="false">
      <c r="A484" s="55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</row>
    <row r="485" customFormat="false" ht="15.75" hidden="false" customHeight="true" outlineLevel="0" collapsed="false">
      <c r="A485" s="55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</row>
    <row r="486" customFormat="false" ht="15.75" hidden="false" customHeight="true" outlineLevel="0" collapsed="false">
      <c r="A486" s="55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</row>
    <row r="487" customFormat="false" ht="15.75" hidden="false" customHeight="true" outlineLevel="0" collapsed="false">
      <c r="A487" s="55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</row>
    <row r="488" customFormat="false" ht="15.75" hidden="false" customHeight="true" outlineLevel="0" collapsed="false">
      <c r="A488" s="55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</row>
    <row r="489" customFormat="false" ht="15.75" hidden="false" customHeight="true" outlineLevel="0" collapsed="false">
      <c r="A489" s="55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</row>
    <row r="490" customFormat="false" ht="15.75" hidden="false" customHeight="true" outlineLevel="0" collapsed="false">
      <c r="A490" s="55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</row>
    <row r="491" customFormat="false" ht="15.75" hidden="false" customHeight="true" outlineLevel="0" collapsed="false">
      <c r="A491" s="55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</row>
    <row r="492" customFormat="false" ht="15.75" hidden="false" customHeight="true" outlineLevel="0" collapsed="false">
      <c r="A492" s="55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</row>
    <row r="493" customFormat="false" ht="15.75" hidden="false" customHeight="true" outlineLevel="0" collapsed="false">
      <c r="A493" s="55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</row>
    <row r="494" customFormat="false" ht="15.75" hidden="false" customHeight="true" outlineLevel="0" collapsed="false">
      <c r="A494" s="55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</row>
    <row r="495" customFormat="false" ht="15.75" hidden="false" customHeight="true" outlineLevel="0" collapsed="false">
      <c r="A495" s="55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</row>
    <row r="496" customFormat="false" ht="15.75" hidden="false" customHeight="true" outlineLevel="0" collapsed="false">
      <c r="A496" s="55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</row>
    <row r="497" customFormat="false" ht="15.75" hidden="false" customHeight="true" outlineLevel="0" collapsed="false">
      <c r="A497" s="55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</row>
    <row r="498" customFormat="false" ht="15.75" hidden="false" customHeight="true" outlineLevel="0" collapsed="false">
      <c r="A498" s="55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</row>
    <row r="499" customFormat="false" ht="15.75" hidden="false" customHeight="true" outlineLevel="0" collapsed="false">
      <c r="A499" s="55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</row>
    <row r="500" customFormat="false" ht="15.75" hidden="false" customHeight="true" outlineLevel="0" collapsed="false">
      <c r="A500" s="55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</row>
    <row r="501" customFormat="false" ht="15.75" hidden="false" customHeight="true" outlineLevel="0" collapsed="false">
      <c r="A501" s="55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</row>
    <row r="502" customFormat="false" ht="15.75" hidden="false" customHeight="true" outlineLevel="0" collapsed="false">
      <c r="A502" s="55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</row>
    <row r="503" customFormat="false" ht="15.75" hidden="false" customHeight="true" outlineLevel="0" collapsed="false">
      <c r="A503" s="55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</row>
    <row r="504" customFormat="false" ht="15.75" hidden="false" customHeight="true" outlineLevel="0" collapsed="false">
      <c r="A504" s="55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</row>
    <row r="505" customFormat="false" ht="15.75" hidden="false" customHeight="true" outlineLevel="0" collapsed="false">
      <c r="A505" s="55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</row>
    <row r="506" customFormat="false" ht="15.75" hidden="false" customHeight="true" outlineLevel="0" collapsed="false">
      <c r="A506" s="55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</row>
    <row r="507" customFormat="false" ht="15.75" hidden="false" customHeight="true" outlineLevel="0" collapsed="false">
      <c r="A507" s="55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</row>
    <row r="508" customFormat="false" ht="15.75" hidden="false" customHeight="true" outlineLevel="0" collapsed="false">
      <c r="A508" s="55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</row>
    <row r="509" customFormat="false" ht="15.75" hidden="false" customHeight="true" outlineLevel="0" collapsed="false">
      <c r="A509" s="55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</row>
    <row r="510" customFormat="false" ht="15.75" hidden="false" customHeight="true" outlineLevel="0" collapsed="false">
      <c r="A510" s="55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</row>
    <row r="511" customFormat="false" ht="15.75" hidden="false" customHeight="true" outlineLevel="0" collapsed="false">
      <c r="A511" s="55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</row>
    <row r="512" customFormat="false" ht="15.75" hidden="false" customHeight="true" outlineLevel="0" collapsed="false">
      <c r="A512" s="55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</row>
    <row r="513" customFormat="false" ht="15.75" hidden="false" customHeight="true" outlineLevel="0" collapsed="false">
      <c r="A513" s="55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</row>
    <row r="514" customFormat="false" ht="15.75" hidden="false" customHeight="true" outlineLevel="0" collapsed="false">
      <c r="A514" s="55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</row>
    <row r="515" customFormat="false" ht="15.75" hidden="false" customHeight="true" outlineLevel="0" collapsed="false">
      <c r="A515" s="55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</row>
    <row r="516" customFormat="false" ht="15.75" hidden="false" customHeight="true" outlineLevel="0" collapsed="false">
      <c r="A516" s="55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</row>
    <row r="517" customFormat="false" ht="15.75" hidden="false" customHeight="true" outlineLevel="0" collapsed="false">
      <c r="A517" s="55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</row>
    <row r="518" customFormat="false" ht="15.75" hidden="false" customHeight="true" outlineLevel="0" collapsed="false">
      <c r="A518" s="55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</row>
    <row r="519" customFormat="false" ht="15.75" hidden="false" customHeight="true" outlineLevel="0" collapsed="false">
      <c r="A519" s="55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</row>
    <row r="520" customFormat="false" ht="15.75" hidden="false" customHeight="true" outlineLevel="0" collapsed="false">
      <c r="A520" s="55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</row>
    <row r="521" customFormat="false" ht="15.75" hidden="false" customHeight="true" outlineLevel="0" collapsed="false">
      <c r="A521" s="55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</row>
    <row r="522" customFormat="false" ht="15.75" hidden="false" customHeight="true" outlineLevel="0" collapsed="false">
      <c r="A522" s="55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</row>
    <row r="523" customFormat="false" ht="15.75" hidden="false" customHeight="true" outlineLevel="0" collapsed="false">
      <c r="A523" s="55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</row>
    <row r="524" customFormat="false" ht="15.75" hidden="false" customHeight="true" outlineLevel="0" collapsed="false">
      <c r="A524" s="55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</row>
    <row r="525" customFormat="false" ht="15.75" hidden="false" customHeight="true" outlineLevel="0" collapsed="false">
      <c r="A525" s="55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</row>
    <row r="526" customFormat="false" ht="15.75" hidden="false" customHeight="true" outlineLevel="0" collapsed="false">
      <c r="A526" s="55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</row>
    <row r="527" customFormat="false" ht="15.75" hidden="false" customHeight="true" outlineLevel="0" collapsed="false">
      <c r="A527" s="55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</row>
    <row r="528" customFormat="false" ht="15.75" hidden="false" customHeight="true" outlineLevel="0" collapsed="false">
      <c r="A528" s="55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</row>
    <row r="529" customFormat="false" ht="15.75" hidden="false" customHeight="true" outlineLevel="0" collapsed="false">
      <c r="A529" s="55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</row>
    <row r="530" customFormat="false" ht="15.75" hidden="false" customHeight="true" outlineLevel="0" collapsed="false">
      <c r="A530" s="55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</row>
    <row r="531" customFormat="false" ht="15.75" hidden="false" customHeight="true" outlineLevel="0" collapsed="false">
      <c r="A531" s="55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</row>
    <row r="532" customFormat="false" ht="15.75" hidden="false" customHeight="true" outlineLevel="0" collapsed="false">
      <c r="A532" s="55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</row>
    <row r="533" customFormat="false" ht="15.75" hidden="false" customHeight="true" outlineLevel="0" collapsed="false">
      <c r="A533" s="55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</row>
    <row r="534" customFormat="false" ht="15.75" hidden="false" customHeight="true" outlineLevel="0" collapsed="false">
      <c r="A534" s="55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</row>
    <row r="535" customFormat="false" ht="15.75" hidden="false" customHeight="true" outlineLevel="0" collapsed="false">
      <c r="A535" s="55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</row>
    <row r="536" customFormat="false" ht="15.75" hidden="false" customHeight="true" outlineLevel="0" collapsed="false">
      <c r="A536" s="55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</row>
    <row r="537" customFormat="false" ht="15.75" hidden="false" customHeight="true" outlineLevel="0" collapsed="false">
      <c r="A537" s="55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</row>
    <row r="538" customFormat="false" ht="15.75" hidden="false" customHeight="true" outlineLevel="0" collapsed="false">
      <c r="A538" s="55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</row>
    <row r="539" customFormat="false" ht="15.75" hidden="false" customHeight="true" outlineLevel="0" collapsed="false">
      <c r="A539" s="55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</row>
    <row r="540" customFormat="false" ht="15.75" hidden="false" customHeight="true" outlineLevel="0" collapsed="false">
      <c r="A540" s="55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</row>
    <row r="541" customFormat="false" ht="15.75" hidden="false" customHeight="true" outlineLevel="0" collapsed="false">
      <c r="A541" s="55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</row>
    <row r="542" customFormat="false" ht="15.75" hidden="false" customHeight="true" outlineLevel="0" collapsed="false">
      <c r="A542" s="55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</row>
    <row r="543" customFormat="false" ht="15.75" hidden="false" customHeight="true" outlineLevel="0" collapsed="false">
      <c r="A543" s="55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</row>
    <row r="544" customFormat="false" ht="15.75" hidden="false" customHeight="true" outlineLevel="0" collapsed="false">
      <c r="A544" s="55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</row>
    <row r="545" customFormat="false" ht="15.75" hidden="false" customHeight="true" outlineLevel="0" collapsed="false">
      <c r="A545" s="55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</row>
    <row r="546" customFormat="false" ht="15.75" hidden="false" customHeight="true" outlineLevel="0" collapsed="false">
      <c r="A546" s="55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</row>
    <row r="547" customFormat="false" ht="15.75" hidden="false" customHeight="true" outlineLevel="0" collapsed="false">
      <c r="A547" s="55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</row>
    <row r="548" customFormat="false" ht="15.75" hidden="false" customHeight="true" outlineLevel="0" collapsed="false">
      <c r="A548" s="55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</row>
    <row r="549" customFormat="false" ht="15.75" hidden="false" customHeight="true" outlineLevel="0" collapsed="false">
      <c r="A549" s="55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</row>
    <row r="550" customFormat="false" ht="15.75" hidden="false" customHeight="true" outlineLevel="0" collapsed="false">
      <c r="A550" s="55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</row>
    <row r="551" customFormat="false" ht="15.75" hidden="false" customHeight="true" outlineLevel="0" collapsed="false">
      <c r="A551" s="55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</row>
    <row r="552" customFormat="false" ht="15.75" hidden="false" customHeight="true" outlineLevel="0" collapsed="false">
      <c r="A552" s="55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</row>
    <row r="553" customFormat="false" ht="15.75" hidden="false" customHeight="true" outlineLevel="0" collapsed="false">
      <c r="A553" s="55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</row>
    <row r="554" customFormat="false" ht="15.75" hidden="false" customHeight="true" outlineLevel="0" collapsed="false">
      <c r="A554" s="55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</row>
    <row r="555" customFormat="false" ht="15.75" hidden="false" customHeight="true" outlineLevel="0" collapsed="false">
      <c r="A555" s="55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</row>
    <row r="556" customFormat="false" ht="15.75" hidden="false" customHeight="true" outlineLevel="0" collapsed="false">
      <c r="A556" s="55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</row>
    <row r="557" customFormat="false" ht="15.75" hidden="false" customHeight="true" outlineLevel="0" collapsed="false">
      <c r="A557" s="55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</row>
    <row r="558" customFormat="false" ht="15.75" hidden="false" customHeight="true" outlineLevel="0" collapsed="false">
      <c r="A558" s="55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</row>
    <row r="559" customFormat="false" ht="15.75" hidden="false" customHeight="true" outlineLevel="0" collapsed="false">
      <c r="A559" s="55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</row>
    <row r="560" customFormat="false" ht="15.75" hidden="false" customHeight="true" outlineLevel="0" collapsed="false">
      <c r="A560" s="55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</row>
    <row r="561" customFormat="false" ht="15.75" hidden="false" customHeight="true" outlineLevel="0" collapsed="false">
      <c r="A561" s="55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</row>
    <row r="562" customFormat="false" ht="15.75" hidden="false" customHeight="true" outlineLevel="0" collapsed="false">
      <c r="A562" s="55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</row>
    <row r="563" customFormat="false" ht="15.75" hidden="false" customHeight="true" outlineLevel="0" collapsed="false">
      <c r="A563" s="55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</row>
    <row r="564" customFormat="false" ht="15.75" hidden="false" customHeight="true" outlineLevel="0" collapsed="false">
      <c r="A564" s="55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</row>
    <row r="565" customFormat="false" ht="15.75" hidden="false" customHeight="true" outlineLevel="0" collapsed="false">
      <c r="A565" s="55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</row>
    <row r="566" customFormat="false" ht="15.75" hidden="false" customHeight="true" outlineLevel="0" collapsed="false">
      <c r="A566" s="55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</row>
    <row r="567" customFormat="false" ht="15.75" hidden="false" customHeight="true" outlineLevel="0" collapsed="false">
      <c r="A567" s="55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</row>
    <row r="568" customFormat="false" ht="15.75" hidden="false" customHeight="true" outlineLevel="0" collapsed="false">
      <c r="A568" s="55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</row>
    <row r="569" customFormat="false" ht="15.75" hidden="false" customHeight="true" outlineLevel="0" collapsed="false">
      <c r="A569" s="55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</row>
    <row r="570" customFormat="false" ht="15.75" hidden="false" customHeight="true" outlineLevel="0" collapsed="false">
      <c r="A570" s="55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</row>
    <row r="571" customFormat="false" ht="15.75" hidden="false" customHeight="true" outlineLevel="0" collapsed="false">
      <c r="A571" s="55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</row>
    <row r="572" customFormat="false" ht="15.75" hidden="false" customHeight="true" outlineLevel="0" collapsed="false">
      <c r="A572" s="55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</row>
    <row r="573" customFormat="false" ht="15.75" hidden="false" customHeight="true" outlineLevel="0" collapsed="false">
      <c r="A573" s="55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</row>
    <row r="574" customFormat="false" ht="15.75" hidden="false" customHeight="true" outlineLevel="0" collapsed="false">
      <c r="A574" s="55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</row>
    <row r="575" customFormat="false" ht="15.75" hidden="false" customHeight="true" outlineLevel="0" collapsed="false">
      <c r="A575" s="55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</row>
    <row r="576" customFormat="false" ht="15.75" hidden="false" customHeight="true" outlineLevel="0" collapsed="false">
      <c r="A576" s="55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</row>
    <row r="577" customFormat="false" ht="15.75" hidden="false" customHeight="true" outlineLevel="0" collapsed="false">
      <c r="A577" s="55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</row>
    <row r="578" customFormat="false" ht="15.75" hidden="false" customHeight="true" outlineLevel="0" collapsed="false">
      <c r="A578" s="55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</row>
    <row r="579" customFormat="false" ht="15.75" hidden="false" customHeight="true" outlineLevel="0" collapsed="false">
      <c r="A579" s="55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</row>
    <row r="580" customFormat="false" ht="15.75" hidden="false" customHeight="true" outlineLevel="0" collapsed="false">
      <c r="A580" s="55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</row>
    <row r="581" customFormat="false" ht="15.75" hidden="false" customHeight="true" outlineLevel="0" collapsed="false">
      <c r="A581" s="55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</row>
    <row r="582" customFormat="false" ht="15.75" hidden="false" customHeight="true" outlineLevel="0" collapsed="false">
      <c r="A582" s="55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</row>
    <row r="583" customFormat="false" ht="15.75" hidden="false" customHeight="true" outlineLevel="0" collapsed="false">
      <c r="A583" s="55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</row>
    <row r="584" customFormat="false" ht="15.75" hidden="false" customHeight="true" outlineLevel="0" collapsed="false">
      <c r="A584" s="55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</row>
    <row r="585" customFormat="false" ht="15.75" hidden="false" customHeight="true" outlineLevel="0" collapsed="false">
      <c r="A585" s="55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</row>
    <row r="586" customFormat="false" ht="15.75" hidden="false" customHeight="true" outlineLevel="0" collapsed="false">
      <c r="A586" s="55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</row>
    <row r="587" customFormat="false" ht="15.75" hidden="false" customHeight="true" outlineLevel="0" collapsed="false">
      <c r="A587" s="55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</row>
    <row r="588" customFormat="false" ht="15.75" hidden="false" customHeight="true" outlineLevel="0" collapsed="false">
      <c r="A588" s="55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</row>
    <row r="589" customFormat="false" ht="15.75" hidden="false" customHeight="true" outlineLevel="0" collapsed="false">
      <c r="A589" s="55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</row>
    <row r="590" customFormat="false" ht="15.75" hidden="false" customHeight="true" outlineLevel="0" collapsed="false">
      <c r="A590" s="55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</row>
    <row r="591" customFormat="false" ht="15.75" hidden="false" customHeight="true" outlineLevel="0" collapsed="false">
      <c r="A591" s="55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</row>
    <row r="592" customFormat="false" ht="15.75" hidden="false" customHeight="true" outlineLevel="0" collapsed="false">
      <c r="A592" s="55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</row>
    <row r="593" customFormat="false" ht="15.75" hidden="false" customHeight="true" outlineLevel="0" collapsed="false">
      <c r="A593" s="55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</row>
    <row r="594" customFormat="false" ht="15.75" hidden="false" customHeight="true" outlineLevel="0" collapsed="false">
      <c r="A594" s="55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</row>
    <row r="595" customFormat="false" ht="15.75" hidden="false" customHeight="true" outlineLevel="0" collapsed="false">
      <c r="A595" s="55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</row>
    <row r="596" customFormat="false" ht="15.75" hidden="false" customHeight="true" outlineLevel="0" collapsed="false">
      <c r="A596" s="55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</row>
    <row r="597" customFormat="false" ht="15.75" hidden="false" customHeight="true" outlineLevel="0" collapsed="false">
      <c r="A597" s="55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</row>
    <row r="598" customFormat="false" ht="15.75" hidden="false" customHeight="true" outlineLevel="0" collapsed="false">
      <c r="A598" s="55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</row>
    <row r="599" customFormat="false" ht="15.75" hidden="false" customHeight="true" outlineLevel="0" collapsed="false">
      <c r="A599" s="55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</row>
    <row r="600" customFormat="false" ht="15.75" hidden="false" customHeight="true" outlineLevel="0" collapsed="false">
      <c r="A600" s="55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</row>
    <row r="601" customFormat="false" ht="15.75" hidden="false" customHeight="true" outlineLevel="0" collapsed="false">
      <c r="A601" s="55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</row>
    <row r="602" customFormat="false" ht="15.75" hidden="false" customHeight="true" outlineLevel="0" collapsed="false">
      <c r="A602" s="55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</row>
    <row r="603" customFormat="false" ht="15.75" hidden="false" customHeight="true" outlineLevel="0" collapsed="false">
      <c r="A603" s="55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</row>
    <row r="604" customFormat="false" ht="15.75" hidden="false" customHeight="true" outlineLevel="0" collapsed="false">
      <c r="A604" s="55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</row>
    <row r="605" customFormat="false" ht="15.75" hidden="false" customHeight="true" outlineLevel="0" collapsed="false">
      <c r="A605" s="55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</row>
    <row r="606" customFormat="false" ht="15.75" hidden="false" customHeight="true" outlineLevel="0" collapsed="false">
      <c r="A606" s="55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</row>
    <row r="607" customFormat="false" ht="15.75" hidden="false" customHeight="true" outlineLevel="0" collapsed="false">
      <c r="A607" s="55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</row>
    <row r="608" customFormat="false" ht="15.75" hidden="false" customHeight="true" outlineLevel="0" collapsed="false">
      <c r="A608" s="55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</row>
    <row r="609" customFormat="false" ht="15.75" hidden="false" customHeight="true" outlineLevel="0" collapsed="false">
      <c r="A609" s="55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</row>
    <row r="610" customFormat="false" ht="15.75" hidden="false" customHeight="true" outlineLevel="0" collapsed="false">
      <c r="A610" s="55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</row>
    <row r="611" customFormat="false" ht="15.75" hidden="false" customHeight="true" outlineLevel="0" collapsed="false">
      <c r="A611" s="55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</row>
    <row r="612" customFormat="false" ht="15.75" hidden="false" customHeight="true" outlineLevel="0" collapsed="false">
      <c r="A612" s="55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</row>
    <row r="613" customFormat="false" ht="15.75" hidden="false" customHeight="true" outlineLevel="0" collapsed="false">
      <c r="A613" s="55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</row>
    <row r="614" customFormat="false" ht="15.75" hidden="false" customHeight="true" outlineLevel="0" collapsed="false">
      <c r="A614" s="55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</row>
    <row r="615" customFormat="false" ht="15.75" hidden="false" customHeight="true" outlineLevel="0" collapsed="false">
      <c r="A615" s="55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</row>
    <row r="616" customFormat="false" ht="15.75" hidden="false" customHeight="true" outlineLevel="0" collapsed="false">
      <c r="A616" s="55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</row>
    <row r="617" customFormat="false" ht="15.75" hidden="false" customHeight="true" outlineLevel="0" collapsed="false">
      <c r="A617" s="55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</row>
    <row r="618" customFormat="false" ht="15.75" hidden="false" customHeight="true" outlineLevel="0" collapsed="false">
      <c r="A618" s="55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</row>
    <row r="619" customFormat="false" ht="15.75" hidden="false" customHeight="true" outlineLevel="0" collapsed="false">
      <c r="A619" s="55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</row>
    <row r="620" customFormat="false" ht="15.75" hidden="false" customHeight="true" outlineLevel="0" collapsed="false">
      <c r="A620" s="55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</row>
    <row r="621" customFormat="false" ht="15.75" hidden="false" customHeight="true" outlineLevel="0" collapsed="false">
      <c r="A621" s="55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</row>
    <row r="622" customFormat="false" ht="15.75" hidden="false" customHeight="true" outlineLevel="0" collapsed="false">
      <c r="A622" s="55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</row>
    <row r="623" customFormat="false" ht="15.75" hidden="false" customHeight="true" outlineLevel="0" collapsed="false">
      <c r="A623" s="55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</row>
    <row r="624" customFormat="false" ht="15.75" hidden="false" customHeight="true" outlineLevel="0" collapsed="false">
      <c r="A624" s="55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</row>
    <row r="625" customFormat="false" ht="15.75" hidden="false" customHeight="true" outlineLevel="0" collapsed="false">
      <c r="A625" s="55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</row>
    <row r="626" customFormat="false" ht="15.75" hidden="false" customHeight="true" outlineLevel="0" collapsed="false">
      <c r="A626" s="55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</row>
    <row r="627" customFormat="false" ht="15.75" hidden="false" customHeight="true" outlineLevel="0" collapsed="false">
      <c r="A627" s="55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</row>
    <row r="628" customFormat="false" ht="15.75" hidden="false" customHeight="true" outlineLevel="0" collapsed="false">
      <c r="A628" s="55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</row>
    <row r="629" customFormat="false" ht="15.75" hidden="false" customHeight="true" outlineLevel="0" collapsed="false">
      <c r="A629" s="55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</row>
    <row r="630" customFormat="false" ht="15.75" hidden="false" customHeight="true" outlineLevel="0" collapsed="false">
      <c r="A630" s="55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</row>
    <row r="631" customFormat="false" ht="15.75" hidden="false" customHeight="true" outlineLevel="0" collapsed="false">
      <c r="A631" s="55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</row>
    <row r="632" customFormat="false" ht="15.75" hidden="false" customHeight="true" outlineLevel="0" collapsed="false">
      <c r="A632" s="55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</row>
    <row r="633" customFormat="false" ht="15.75" hidden="false" customHeight="true" outlineLevel="0" collapsed="false">
      <c r="A633" s="55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</row>
    <row r="634" customFormat="false" ht="15.75" hidden="false" customHeight="true" outlineLevel="0" collapsed="false">
      <c r="A634" s="55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</row>
    <row r="635" customFormat="false" ht="15.75" hidden="false" customHeight="true" outlineLevel="0" collapsed="false">
      <c r="A635" s="55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</row>
    <row r="636" customFormat="false" ht="15.75" hidden="false" customHeight="true" outlineLevel="0" collapsed="false">
      <c r="A636" s="55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</row>
    <row r="637" customFormat="false" ht="15.75" hidden="false" customHeight="true" outlineLevel="0" collapsed="false">
      <c r="A637" s="55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</row>
    <row r="638" customFormat="false" ht="15.75" hidden="false" customHeight="true" outlineLevel="0" collapsed="false">
      <c r="A638" s="55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</row>
    <row r="639" customFormat="false" ht="15.75" hidden="false" customHeight="true" outlineLevel="0" collapsed="false">
      <c r="A639" s="55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</row>
    <row r="640" customFormat="false" ht="15.75" hidden="false" customHeight="true" outlineLevel="0" collapsed="false">
      <c r="A640" s="55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</row>
    <row r="641" customFormat="false" ht="15.75" hidden="false" customHeight="true" outlineLevel="0" collapsed="false">
      <c r="A641" s="55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</row>
    <row r="642" customFormat="false" ht="15.75" hidden="false" customHeight="true" outlineLevel="0" collapsed="false">
      <c r="A642" s="55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</row>
    <row r="643" customFormat="false" ht="15.75" hidden="false" customHeight="true" outlineLevel="0" collapsed="false">
      <c r="A643" s="55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</row>
    <row r="644" customFormat="false" ht="15.75" hidden="false" customHeight="true" outlineLevel="0" collapsed="false">
      <c r="A644" s="55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</row>
    <row r="645" customFormat="false" ht="15.75" hidden="false" customHeight="true" outlineLevel="0" collapsed="false">
      <c r="A645" s="55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</row>
    <row r="646" customFormat="false" ht="15.75" hidden="false" customHeight="true" outlineLevel="0" collapsed="false">
      <c r="A646" s="55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</row>
    <row r="647" customFormat="false" ht="15.75" hidden="false" customHeight="true" outlineLevel="0" collapsed="false">
      <c r="A647" s="55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</row>
    <row r="648" customFormat="false" ht="15.75" hidden="false" customHeight="true" outlineLevel="0" collapsed="false">
      <c r="A648" s="55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</row>
    <row r="649" customFormat="false" ht="15.75" hidden="false" customHeight="true" outlineLevel="0" collapsed="false">
      <c r="A649" s="55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</row>
    <row r="650" customFormat="false" ht="15.75" hidden="false" customHeight="true" outlineLevel="0" collapsed="false">
      <c r="A650" s="55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</row>
    <row r="651" customFormat="false" ht="15.75" hidden="false" customHeight="true" outlineLevel="0" collapsed="false">
      <c r="A651" s="55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</row>
    <row r="652" customFormat="false" ht="15.75" hidden="false" customHeight="true" outlineLevel="0" collapsed="false">
      <c r="A652" s="55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</row>
    <row r="653" customFormat="false" ht="15.75" hidden="false" customHeight="true" outlineLevel="0" collapsed="false">
      <c r="A653" s="55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</row>
    <row r="654" customFormat="false" ht="15.75" hidden="false" customHeight="true" outlineLevel="0" collapsed="false">
      <c r="A654" s="55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</row>
    <row r="655" customFormat="false" ht="15.75" hidden="false" customHeight="true" outlineLevel="0" collapsed="false">
      <c r="A655" s="55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</row>
    <row r="656" customFormat="false" ht="15.75" hidden="false" customHeight="true" outlineLevel="0" collapsed="false">
      <c r="A656" s="55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</row>
    <row r="657" customFormat="false" ht="15.75" hidden="false" customHeight="true" outlineLevel="0" collapsed="false">
      <c r="A657" s="55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</row>
    <row r="658" customFormat="false" ht="15.75" hidden="false" customHeight="true" outlineLevel="0" collapsed="false">
      <c r="A658" s="55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</row>
    <row r="659" customFormat="false" ht="15.75" hidden="false" customHeight="true" outlineLevel="0" collapsed="false">
      <c r="A659" s="55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</row>
    <row r="660" customFormat="false" ht="15.75" hidden="false" customHeight="true" outlineLevel="0" collapsed="false">
      <c r="A660" s="55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</row>
    <row r="661" customFormat="false" ht="15.75" hidden="false" customHeight="true" outlineLevel="0" collapsed="false">
      <c r="A661" s="55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</row>
    <row r="662" customFormat="false" ht="15.75" hidden="false" customHeight="true" outlineLevel="0" collapsed="false">
      <c r="A662" s="55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</row>
    <row r="663" customFormat="false" ht="15.75" hidden="false" customHeight="true" outlineLevel="0" collapsed="false">
      <c r="A663" s="55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</row>
    <row r="664" customFormat="false" ht="15.75" hidden="false" customHeight="true" outlineLevel="0" collapsed="false">
      <c r="A664" s="55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</row>
    <row r="665" customFormat="false" ht="15.75" hidden="false" customHeight="true" outlineLevel="0" collapsed="false">
      <c r="A665" s="55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</row>
    <row r="666" customFormat="false" ht="15.75" hidden="false" customHeight="true" outlineLevel="0" collapsed="false">
      <c r="A666" s="55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</row>
    <row r="667" customFormat="false" ht="15.75" hidden="false" customHeight="true" outlineLevel="0" collapsed="false">
      <c r="A667" s="55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</row>
    <row r="668" customFormat="false" ht="15.75" hidden="false" customHeight="true" outlineLevel="0" collapsed="false">
      <c r="A668" s="55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</row>
    <row r="669" customFormat="false" ht="15.75" hidden="false" customHeight="true" outlineLevel="0" collapsed="false">
      <c r="A669" s="55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</row>
    <row r="670" customFormat="false" ht="15.75" hidden="false" customHeight="true" outlineLevel="0" collapsed="false">
      <c r="A670" s="55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</row>
    <row r="671" customFormat="false" ht="15.75" hidden="false" customHeight="true" outlineLevel="0" collapsed="false">
      <c r="A671" s="55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</row>
    <row r="672" customFormat="false" ht="15.75" hidden="false" customHeight="true" outlineLevel="0" collapsed="false">
      <c r="A672" s="55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</row>
    <row r="673" customFormat="false" ht="15.75" hidden="false" customHeight="true" outlineLevel="0" collapsed="false">
      <c r="A673" s="55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</row>
    <row r="674" customFormat="false" ht="15.75" hidden="false" customHeight="true" outlineLevel="0" collapsed="false">
      <c r="A674" s="55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</row>
    <row r="675" customFormat="false" ht="15.75" hidden="false" customHeight="true" outlineLevel="0" collapsed="false">
      <c r="A675" s="55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</row>
    <row r="676" customFormat="false" ht="15.75" hidden="false" customHeight="true" outlineLevel="0" collapsed="false">
      <c r="A676" s="55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</row>
    <row r="677" customFormat="false" ht="15.75" hidden="false" customHeight="true" outlineLevel="0" collapsed="false">
      <c r="A677" s="55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</row>
    <row r="678" customFormat="false" ht="15.75" hidden="false" customHeight="true" outlineLevel="0" collapsed="false">
      <c r="A678" s="55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</row>
    <row r="679" customFormat="false" ht="15.75" hidden="false" customHeight="true" outlineLevel="0" collapsed="false">
      <c r="A679" s="55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</row>
    <row r="680" customFormat="false" ht="15.75" hidden="false" customHeight="true" outlineLevel="0" collapsed="false">
      <c r="A680" s="55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</row>
    <row r="681" customFormat="false" ht="15.75" hidden="false" customHeight="true" outlineLevel="0" collapsed="false">
      <c r="A681" s="55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</row>
    <row r="682" customFormat="false" ht="15.75" hidden="false" customHeight="true" outlineLevel="0" collapsed="false">
      <c r="A682" s="55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</row>
    <row r="683" customFormat="false" ht="15.75" hidden="false" customHeight="true" outlineLevel="0" collapsed="false">
      <c r="A683" s="55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</row>
    <row r="684" customFormat="false" ht="15.75" hidden="false" customHeight="true" outlineLevel="0" collapsed="false">
      <c r="A684" s="55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</row>
    <row r="685" customFormat="false" ht="15.75" hidden="false" customHeight="true" outlineLevel="0" collapsed="false">
      <c r="A685" s="55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</row>
    <row r="686" customFormat="false" ht="15.75" hidden="false" customHeight="true" outlineLevel="0" collapsed="false">
      <c r="A686" s="55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</row>
    <row r="687" customFormat="false" ht="15.75" hidden="false" customHeight="true" outlineLevel="0" collapsed="false">
      <c r="A687" s="55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</row>
    <row r="688" customFormat="false" ht="15.75" hidden="false" customHeight="true" outlineLevel="0" collapsed="false">
      <c r="A688" s="55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</row>
    <row r="689" customFormat="false" ht="15.75" hidden="false" customHeight="true" outlineLevel="0" collapsed="false">
      <c r="A689" s="55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</row>
    <row r="690" customFormat="false" ht="15.75" hidden="false" customHeight="true" outlineLevel="0" collapsed="false">
      <c r="A690" s="55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</row>
    <row r="691" customFormat="false" ht="15.75" hidden="false" customHeight="true" outlineLevel="0" collapsed="false">
      <c r="A691" s="55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</row>
    <row r="692" customFormat="false" ht="15.75" hidden="false" customHeight="true" outlineLevel="0" collapsed="false">
      <c r="A692" s="55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</row>
    <row r="693" customFormat="false" ht="15.75" hidden="false" customHeight="true" outlineLevel="0" collapsed="false">
      <c r="A693" s="55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</row>
    <row r="694" customFormat="false" ht="15.75" hidden="false" customHeight="true" outlineLevel="0" collapsed="false">
      <c r="A694" s="55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</row>
    <row r="695" customFormat="false" ht="15.75" hidden="false" customHeight="true" outlineLevel="0" collapsed="false">
      <c r="A695" s="55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</row>
    <row r="696" customFormat="false" ht="15.75" hidden="false" customHeight="true" outlineLevel="0" collapsed="false">
      <c r="A696" s="55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</row>
    <row r="697" customFormat="false" ht="15.75" hidden="false" customHeight="true" outlineLevel="0" collapsed="false">
      <c r="A697" s="55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</row>
    <row r="698" customFormat="false" ht="15.75" hidden="false" customHeight="true" outlineLevel="0" collapsed="false">
      <c r="A698" s="55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</row>
    <row r="699" customFormat="false" ht="15.75" hidden="false" customHeight="true" outlineLevel="0" collapsed="false">
      <c r="A699" s="55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</row>
    <row r="700" customFormat="false" ht="15.75" hidden="false" customHeight="true" outlineLevel="0" collapsed="false">
      <c r="A700" s="55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</row>
    <row r="701" customFormat="false" ht="15.75" hidden="false" customHeight="true" outlineLevel="0" collapsed="false">
      <c r="A701" s="55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</row>
    <row r="702" customFormat="false" ht="15.75" hidden="false" customHeight="true" outlineLevel="0" collapsed="false">
      <c r="A702" s="55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</row>
    <row r="703" customFormat="false" ht="15.75" hidden="false" customHeight="true" outlineLevel="0" collapsed="false">
      <c r="A703" s="55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</row>
    <row r="704" customFormat="false" ht="15.75" hidden="false" customHeight="true" outlineLevel="0" collapsed="false">
      <c r="A704" s="55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</row>
    <row r="705" customFormat="false" ht="15.75" hidden="false" customHeight="true" outlineLevel="0" collapsed="false">
      <c r="A705" s="55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</row>
    <row r="706" customFormat="false" ht="15.75" hidden="false" customHeight="true" outlineLevel="0" collapsed="false">
      <c r="A706" s="55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</row>
    <row r="707" customFormat="false" ht="15.75" hidden="false" customHeight="true" outlineLevel="0" collapsed="false">
      <c r="A707" s="55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</row>
    <row r="708" customFormat="false" ht="15.75" hidden="false" customHeight="true" outlineLevel="0" collapsed="false">
      <c r="A708" s="55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</row>
    <row r="709" customFormat="false" ht="15.75" hidden="false" customHeight="true" outlineLevel="0" collapsed="false">
      <c r="A709" s="55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</row>
    <row r="710" customFormat="false" ht="15.75" hidden="false" customHeight="true" outlineLevel="0" collapsed="false">
      <c r="A710" s="55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</row>
    <row r="711" customFormat="false" ht="15.75" hidden="false" customHeight="true" outlineLevel="0" collapsed="false">
      <c r="A711" s="55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</row>
    <row r="712" customFormat="false" ht="15.75" hidden="false" customHeight="true" outlineLevel="0" collapsed="false">
      <c r="A712" s="55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</row>
    <row r="713" customFormat="false" ht="15.75" hidden="false" customHeight="true" outlineLevel="0" collapsed="false">
      <c r="A713" s="55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</row>
    <row r="714" customFormat="false" ht="15.75" hidden="false" customHeight="true" outlineLevel="0" collapsed="false">
      <c r="A714" s="55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</row>
    <row r="715" customFormat="false" ht="15.75" hidden="false" customHeight="true" outlineLevel="0" collapsed="false">
      <c r="A715" s="55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</row>
    <row r="716" customFormat="false" ht="15.75" hidden="false" customHeight="true" outlineLevel="0" collapsed="false">
      <c r="A716" s="55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</row>
    <row r="717" customFormat="false" ht="15.75" hidden="false" customHeight="true" outlineLevel="0" collapsed="false">
      <c r="A717" s="55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</row>
    <row r="718" customFormat="false" ht="15.75" hidden="false" customHeight="true" outlineLevel="0" collapsed="false">
      <c r="A718" s="55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</row>
    <row r="719" customFormat="false" ht="15.75" hidden="false" customHeight="true" outlineLevel="0" collapsed="false">
      <c r="A719" s="55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</row>
    <row r="720" customFormat="false" ht="15.75" hidden="false" customHeight="true" outlineLevel="0" collapsed="false">
      <c r="A720" s="55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</row>
    <row r="721" customFormat="false" ht="15.75" hidden="false" customHeight="true" outlineLevel="0" collapsed="false">
      <c r="A721" s="55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</row>
    <row r="722" customFormat="false" ht="15.75" hidden="false" customHeight="true" outlineLevel="0" collapsed="false">
      <c r="A722" s="55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</row>
    <row r="723" customFormat="false" ht="15.75" hidden="false" customHeight="true" outlineLevel="0" collapsed="false">
      <c r="A723" s="55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</row>
    <row r="724" customFormat="false" ht="15.75" hidden="false" customHeight="true" outlineLevel="0" collapsed="false">
      <c r="A724" s="55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</row>
    <row r="725" customFormat="false" ht="15.75" hidden="false" customHeight="true" outlineLevel="0" collapsed="false">
      <c r="A725" s="55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</row>
    <row r="726" customFormat="false" ht="15.75" hidden="false" customHeight="true" outlineLevel="0" collapsed="false">
      <c r="A726" s="55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</row>
    <row r="727" customFormat="false" ht="15.75" hidden="false" customHeight="true" outlineLevel="0" collapsed="false">
      <c r="A727" s="55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</row>
    <row r="728" customFormat="false" ht="15.75" hidden="false" customHeight="true" outlineLevel="0" collapsed="false">
      <c r="A728" s="55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</row>
    <row r="729" customFormat="false" ht="15.75" hidden="false" customHeight="true" outlineLevel="0" collapsed="false">
      <c r="A729" s="55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</row>
    <row r="730" customFormat="false" ht="15.75" hidden="false" customHeight="true" outlineLevel="0" collapsed="false">
      <c r="A730" s="55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</row>
    <row r="731" customFormat="false" ht="15.75" hidden="false" customHeight="true" outlineLevel="0" collapsed="false">
      <c r="A731" s="55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</row>
    <row r="732" customFormat="false" ht="15.75" hidden="false" customHeight="true" outlineLevel="0" collapsed="false">
      <c r="A732" s="55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</row>
    <row r="733" customFormat="false" ht="15.75" hidden="false" customHeight="true" outlineLevel="0" collapsed="false">
      <c r="A733" s="55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</row>
    <row r="734" customFormat="false" ht="15.75" hidden="false" customHeight="true" outlineLevel="0" collapsed="false">
      <c r="A734" s="55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</row>
    <row r="735" customFormat="false" ht="15.75" hidden="false" customHeight="true" outlineLevel="0" collapsed="false">
      <c r="A735" s="55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</row>
    <row r="736" customFormat="false" ht="15.75" hidden="false" customHeight="true" outlineLevel="0" collapsed="false">
      <c r="A736" s="55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</row>
    <row r="737" customFormat="false" ht="15.75" hidden="false" customHeight="true" outlineLevel="0" collapsed="false">
      <c r="A737" s="55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</row>
    <row r="738" customFormat="false" ht="15.75" hidden="false" customHeight="true" outlineLevel="0" collapsed="false">
      <c r="A738" s="55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</row>
    <row r="739" customFormat="false" ht="15.75" hidden="false" customHeight="true" outlineLevel="0" collapsed="false">
      <c r="A739" s="55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</row>
    <row r="740" customFormat="false" ht="15.75" hidden="false" customHeight="true" outlineLevel="0" collapsed="false">
      <c r="A740" s="55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</row>
    <row r="741" customFormat="false" ht="15.75" hidden="false" customHeight="true" outlineLevel="0" collapsed="false">
      <c r="A741" s="55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</row>
    <row r="742" customFormat="false" ht="15.75" hidden="false" customHeight="true" outlineLevel="0" collapsed="false">
      <c r="A742" s="55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</row>
    <row r="743" customFormat="false" ht="15.75" hidden="false" customHeight="true" outlineLevel="0" collapsed="false">
      <c r="A743" s="55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</row>
    <row r="744" customFormat="false" ht="15.75" hidden="false" customHeight="true" outlineLevel="0" collapsed="false">
      <c r="A744" s="55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</row>
    <row r="745" customFormat="false" ht="15.75" hidden="false" customHeight="true" outlineLevel="0" collapsed="false">
      <c r="A745" s="55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</row>
    <row r="746" customFormat="false" ht="15.75" hidden="false" customHeight="true" outlineLevel="0" collapsed="false">
      <c r="A746" s="55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</row>
    <row r="747" customFormat="false" ht="15.75" hidden="false" customHeight="true" outlineLevel="0" collapsed="false">
      <c r="A747" s="55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</row>
    <row r="748" customFormat="false" ht="15.75" hidden="false" customHeight="true" outlineLevel="0" collapsed="false">
      <c r="A748" s="55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</row>
    <row r="749" customFormat="false" ht="15.75" hidden="false" customHeight="true" outlineLevel="0" collapsed="false">
      <c r="A749" s="55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</row>
    <row r="750" customFormat="false" ht="15.75" hidden="false" customHeight="true" outlineLevel="0" collapsed="false">
      <c r="A750" s="55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</row>
    <row r="751" customFormat="false" ht="15.75" hidden="false" customHeight="true" outlineLevel="0" collapsed="false">
      <c r="A751" s="55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</row>
    <row r="752" customFormat="false" ht="15.75" hidden="false" customHeight="true" outlineLevel="0" collapsed="false">
      <c r="A752" s="55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</row>
    <row r="753" customFormat="false" ht="15.75" hidden="false" customHeight="true" outlineLevel="0" collapsed="false">
      <c r="A753" s="55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</row>
    <row r="754" customFormat="false" ht="15.75" hidden="false" customHeight="true" outlineLevel="0" collapsed="false">
      <c r="A754" s="55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</row>
    <row r="755" customFormat="false" ht="15.75" hidden="false" customHeight="true" outlineLevel="0" collapsed="false">
      <c r="A755" s="55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</row>
    <row r="756" customFormat="false" ht="15.75" hidden="false" customHeight="true" outlineLevel="0" collapsed="false">
      <c r="A756" s="55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</row>
    <row r="757" customFormat="false" ht="15.75" hidden="false" customHeight="true" outlineLevel="0" collapsed="false">
      <c r="A757" s="55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</row>
    <row r="758" customFormat="false" ht="15.75" hidden="false" customHeight="true" outlineLevel="0" collapsed="false">
      <c r="A758" s="55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</row>
    <row r="759" customFormat="false" ht="15.75" hidden="false" customHeight="true" outlineLevel="0" collapsed="false">
      <c r="A759" s="55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</row>
    <row r="760" customFormat="false" ht="15.75" hidden="false" customHeight="true" outlineLevel="0" collapsed="false">
      <c r="A760" s="55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</row>
    <row r="761" customFormat="false" ht="15.75" hidden="false" customHeight="true" outlineLevel="0" collapsed="false">
      <c r="A761" s="55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</row>
    <row r="762" customFormat="false" ht="15.75" hidden="false" customHeight="true" outlineLevel="0" collapsed="false">
      <c r="A762" s="55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</row>
    <row r="763" customFormat="false" ht="15.75" hidden="false" customHeight="true" outlineLevel="0" collapsed="false">
      <c r="A763" s="55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</row>
    <row r="764" customFormat="false" ht="15.75" hidden="false" customHeight="true" outlineLevel="0" collapsed="false">
      <c r="A764" s="55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</row>
    <row r="765" customFormat="false" ht="15.75" hidden="false" customHeight="true" outlineLevel="0" collapsed="false">
      <c r="A765" s="55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</row>
    <row r="766" customFormat="false" ht="15.75" hidden="false" customHeight="true" outlineLevel="0" collapsed="false">
      <c r="A766" s="55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</row>
    <row r="767" customFormat="false" ht="15.75" hidden="false" customHeight="true" outlineLevel="0" collapsed="false">
      <c r="A767" s="55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</row>
    <row r="768" customFormat="false" ht="15.75" hidden="false" customHeight="true" outlineLevel="0" collapsed="false">
      <c r="A768" s="55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</row>
    <row r="769" customFormat="false" ht="15.75" hidden="false" customHeight="true" outlineLevel="0" collapsed="false">
      <c r="A769" s="55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</row>
    <row r="770" customFormat="false" ht="15.75" hidden="false" customHeight="true" outlineLevel="0" collapsed="false">
      <c r="A770" s="55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</row>
    <row r="771" customFormat="false" ht="15.75" hidden="false" customHeight="true" outlineLevel="0" collapsed="false">
      <c r="A771" s="55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</row>
    <row r="772" customFormat="false" ht="15.75" hidden="false" customHeight="true" outlineLevel="0" collapsed="false">
      <c r="A772" s="55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</row>
    <row r="773" customFormat="false" ht="15.75" hidden="false" customHeight="true" outlineLevel="0" collapsed="false">
      <c r="A773" s="55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</row>
    <row r="774" customFormat="false" ht="15.75" hidden="false" customHeight="true" outlineLevel="0" collapsed="false">
      <c r="A774" s="55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</row>
    <row r="775" customFormat="false" ht="15.75" hidden="false" customHeight="true" outlineLevel="0" collapsed="false">
      <c r="A775" s="55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</row>
    <row r="776" customFormat="false" ht="15.75" hidden="false" customHeight="true" outlineLevel="0" collapsed="false">
      <c r="A776" s="55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</row>
    <row r="777" customFormat="false" ht="15.75" hidden="false" customHeight="true" outlineLevel="0" collapsed="false">
      <c r="A777" s="55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</row>
    <row r="778" customFormat="false" ht="15.75" hidden="false" customHeight="true" outlineLevel="0" collapsed="false">
      <c r="A778" s="55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</row>
    <row r="779" customFormat="false" ht="15.75" hidden="false" customHeight="true" outlineLevel="0" collapsed="false">
      <c r="A779" s="55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</row>
    <row r="780" customFormat="false" ht="15.75" hidden="false" customHeight="true" outlineLevel="0" collapsed="false">
      <c r="A780" s="55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</row>
    <row r="781" customFormat="false" ht="15.75" hidden="false" customHeight="true" outlineLevel="0" collapsed="false">
      <c r="A781" s="55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</row>
    <row r="782" customFormat="false" ht="15.75" hidden="false" customHeight="true" outlineLevel="0" collapsed="false">
      <c r="A782" s="55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</row>
    <row r="783" customFormat="false" ht="15.75" hidden="false" customHeight="true" outlineLevel="0" collapsed="false">
      <c r="A783" s="55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</row>
    <row r="784" customFormat="false" ht="15.75" hidden="false" customHeight="true" outlineLevel="0" collapsed="false">
      <c r="A784" s="55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</row>
    <row r="785" customFormat="false" ht="15.75" hidden="false" customHeight="true" outlineLevel="0" collapsed="false">
      <c r="A785" s="55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</row>
    <row r="786" customFormat="false" ht="15.75" hidden="false" customHeight="true" outlineLevel="0" collapsed="false">
      <c r="A786" s="55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</row>
    <row r="787" customFormat="false" ht="15.75" hidden="false" customHeight="true" outlineLevel="0" collapsed="false">
      <c r="A787" s="55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</row>
    <row r="788" customFormat="false" ht="15.75" hidden="false" customHeight="true" outlineLevel="0" collapsed="false">
      <c r="A788" s="55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</row>
    <row r="789" customFormat="false" ht="15.75" hidden="false" customHeight="true" outlineLevel="0" collapsed="false">
      <c r="A789" s="55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</row>
    <row r="790" customFormat="false" ht="15.75" hidden="false" customHeight="true" outlineLevel="0" collapsed="false">
      <c r="A790" s="55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</row>
    <row r="791" customFormat="false" ht="15.75" hidden="false" customHeight="true" outlineLevel="0" collapsed="false">
      <c r="A791" s="55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</row>
    <row r="792" customFormat="false" ht="15.75" hidden="false" customHeight="true" outlineLevel="0" collapsed="false">
      <c r="A792" s="55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</row>
    <row r="793" customFormat="false" ht="15.75" hidden="false" customHeight="true" outlineLevel="0" collapsed="false">
      <c r="A793" s="55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</row>
    <row r="794" customFormat="false" ht="15.75" hidden="false" customHeight="true" outlineLevel="0" collapsed="false">
      <c r="A794" s="55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</row>
    <row r="795" customFormat="false" ht="15.75" hidden="false" customHeight="true" outlineLevel="0" collapsed="false">
      <c r="A795" s="55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</row>
    <row r="796" customFormat="false" ht="15.75" hidden="false" customHeight="true" outlineLevel="0" collapsed="false">
      <c r="A796" s="55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</row>
    <row r="797" customFormat="false" ht="15.75" hidden="false" customHeight="true" outlineLevel="0" collapsed="false">
      <c r="A797" s="55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</row>
    <row r="798" customFormat="false" ht="15.75" hidden="false" customHeight="true" outlineLevel="0" collapsed="false">
      <c r="A798" s="55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</row>
    <row r="799" customFormat="false" ht="15.75" hidden="false" customHeight="true" outlineLevel="0" collapsed="false">
      <c r="A799" s="55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</row>
    <row r="800" customFormat="false" ht="15.75" hidden="false" customHeight="true" outlineLevel="0" collapsed="false">
      <c r="A800" s="55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</row>
    <row r="801" customFormat="false" ht="15.75" hidden="false" customHeight="true" outlineLevel="0" collapsed="false">
      <c r="A801" s="55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</row>
    <row r="802" customFormat="false" ht="15.75" hidden="false" customHeight="true" outlineLevel="0" collapsed="false">
      <c r="A802" s="55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</row>
    <row r="803" customFormat="false" ht="15.75" hidden="false" customHeight="true" outlineLevel="0" collapsed="false">
      <c r="A803" s="55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</row>
    <row r="804" customFormat="false" ht="15.75" hidden="false" customHeight="true" outlineLevel="0" collapsed="false">
      <c r="A804" s="55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</row>
    <row r="805" customFormat="false" ht="15.75" hidden="false" customHeight="true" outlineLevel="0" collapsed="false">
      <c r="A805" s="55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</row>
    <row r="806" customFormat="false" ht="15.75" hidden="false" customHeight="true" outlineLevel="0" collapsed="false">
      <c r="A806" s="55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</row>
    <row r="807" customFormat="false" ht="15.75" hidden="false" customHeight="true" outlineLevel="0" collapsed="false">
      <c r="A807" s="55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</row>
    <row r="808" customFormat="false" ht="15.75" hidden="false" customHeight="true" outlineLevel="0" collapsed="false">
      <c r="A808" s="55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</row>
    <row r="809" customFormat="false" ht="15.75" hidden="false" customHeight="true" outlineLevel="0" collapsed="false">
      <c r="A809" s="55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</row>
    <row r="810" customFormat="false" ht="15.75" hidden="false" customHeight="true" outlineLevel="0" collapsed="false">
      <c r="A810" s="55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</row>
    <row r="811" customFormat="false" ht="15.75" hidden="false" customHeight="true" outlineLevel="0" collapsed="false">
      <c r="A811" s="55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</row>
    <row r="812" customFormat="false" ht="15.75" hidden="false" customHeight="true" outlineLevel="0" collapsed="false">
      <c r="A812" s="55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</row>
    <row r="813" customFormat="false" ht="15.75" hidden="false" customHeight="true" outlineLevel="0" collapsed="false">
      <c r="A813" s="55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</row>
    <row r="814" customFormat="false" ht="15.75" hidden="false" customHeight="true" outlineLevel="0" collapsed="false">
      <c r="A814" s="55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</row>
    <row r="815" customFormat="false" ht="15.75" hidden="false" customHeight="true" outlineLevel="0" collapsed="false">
      <c r="A815" s="55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</row>
    <row r="816" customFormat="false" ht="15.75" hidden="false" customHeight="true" outlineLevel="0" collapsed="false">
      <c r="A816" s="55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</row>
    <row r="817" customFormat="false" ht="15.75" hidden="false" customHeight="true" outlineLevel="0" collapsed="false">
      <c r="A817" s="55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</row>
    <row r="818" customFormat="false" ht="15.75" hidden="false" customHeight="true" outlineLevel="0" collapsed="false">
      <c r="A818" s="55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</row>
    <row r="819" customFormat="false" ht="15.75" hidden="false" customHeight="true" outlineLevel="0" collapsed="false">
      <c r="A819" s="55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</row>
    <row r="820" customFormat="false" ht="15.75" hidden="false" customHeight="true" outlineLevel="0" collapsed="false">
      <c r="A820" s="55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</row>
    <row r="821" customFormat="false" ht="15.75" hidden="false" customHeight="true" outlineLevel="0" collapsed="false">
      <c r="A821" s="55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</row>
    <row r="822" customFormat="false" ht="15.75" hidden="false" customHeight="true" outlineLevel="0" collapsed="false">
      <c r="A822" s="55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</row>
    <row r="823" customFormat="false" ht="15.75" hidden="false" customHeight="true" outlineLevel="0" collapsed="false">
      <c r="A823" s="55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</row>
    <row r="824" customFormat="false" ht="15.75" hidden="false" customHeight="true" outlineLevel="0" collapsed="false">
      <c r="A824" s="55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</row>
    <row r="825" customFormat="false" ht="15.75" hidden="false" customHeight="true" outlineLevel="0" collapsed="false">
      <c r="A825" s="55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</row>
    <row r="826" customFormat="false" ht="15.75" hidden="false" customHeight="true" outlineLevel="0" collapsed="false">
      <c r="A826" s="55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</row>
    <row r="827" customFormat="false" ht="15.75" hidden="false" customHeight="true" outlineLevel="0" collapsed="false">
      <c r="A827" s="55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</row>
    <row r="828" customFormat="false" ht="15.75" hidden="false" customHeight="true" outlineLevel="0" collapsed="false">
      <c r="A828" s="55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</row>
    <row r="829" customFormat="false" ht="15.75" hidden="false" customHeight="true" outlineLevel="0" collapsed="false">
      <c r="A829" s="55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</row>
    <row r="830" customFormat="false" ht="15.75" hidden="false" customHeight="true" outlineLevel="0" collapsed="false">
      <c r="A830" s="55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</row>
    <row r="831" customFormat="false" ht="15.75" hidden="false" customHeight="true" outlineLevel="0" collapsed="false">
      <c r="A831" s="55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</row>
    <row r="832" customFormat="false" ht="15.75" hidden="false" customHeight="true" outlineLevel="0" collapsed="false">
      <c r="A832" s="55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</row>
    <row r="833" customFormat="false" ht="15.75" hidden="false" customHeight="true" outlineLevel="0" collapsed="false">
      <c r="A833" s="55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</row>
    <row r="834" customFormat="false" ht="15.75" hidden="false" customHeight="true" outlineLevel="0" collapsed="false">
      <c r="A834" s="55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</row>
    <row r="835" customFormat="false" ht="15.75" hidden="false" customHeight="true" outlineLevel="0" collapsed="false">
      <c r="A835" s="55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</row>
    <row r="836" customFormat="false" ht="15.75" hidden="false" customHeight="true" outlineLevel="0" collapsed="false">
      <c r="A836" s="55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</row>
    <row r="837" customFormat="false" ht="15.75" hidden="false" customHeight="true" outlineLevel="0" collapsed="false">
      <c r="A837" s="55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</row>
    <row r="838" customFormat="false" ht="15.75" hidden="false" customHeight="true" outlineLevel="0" collapsed="false">
      <c r="A838" s="55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</row>
    <row r="839" customFormat="false" ht="15.75" hidden="false" customHeight="true" outlineLevel="0" collapsed="false">
      <c r="A839" s="55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</row>
    <row r="840" customFormat="false" ht="15.75" hidden="false" customHeight="true" outlineLevel="0" collapsed="false">
      <c r="A840" s="55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</row>
    <row r="841" customFormat="false" ht="15.75" hidden="false" customHeight="true" outlineLevel="0" collapsed="false">
      <c r="A841" s="55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</row>
    <row r="842" customFormat="false" ht="15.75" hidden="false" customHeight="true" outlineLevel="0" collapsed="false">
      <c r="A842" s="55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</row>
    <row r="843" customFormat="false" ht="15.75" hidden="false" customHeight="true" outlineLevel="0" collapsed="false">
      <c r="A843" s="55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</row>
    <row r="844" customFormat="false" ht="15.75" hidden="false" customHeight="true" outlineLevel="0" collapsed="false">
      <c r="A844" s="55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</row>
    <row r="845" customFormat="false" ht="15.75" hidden="false" customHeight="true" outlineLevel="0" collapsed="false">
      <c r="A845" s="55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</row>
    <row r="846" customFormat="false" ht="15.75" hidden="false" customHeight="true" outlineLevel="0" collapsed="false">
      <c r="A846" s="55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</row>
    <row r="847" customFormat="false" ht="15.75" hidden="false" customHeight="true" outlineLevel="0" collapsed="false">
      <c r="A847" s="55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</row>
    <row r="848" customFormat="false" ht="15.75" hidden="false" customHeight="true" outlineLevel="0" collapsed="false">
      <c r="A848" s="55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</row>
    <row r="849" customFormat="false" ht="15.75" hidden="false" customHeight="true" outlineLevel="0" collapsed="false">
      <c r="A849" s="55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</row>
    <row r="850" customFormat="false" ht="15.75" hidden="false" customHeight="true" outlineLevel="0" collapsed="false">
      <c r="A850" s="55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</row>
    <row r="851" customFormat="false" ht="15.75" hidden="false" customHeight="true" outlineLevel="0" collapsed="false">
      <c r="A851" s="55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</row>
    <row r="852" customFormat="false" ht="15.75" hidden="false" customHeight="true" outlineLevel="0" collapsed="false">
      <c r="A852" s="55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</row>
    <row r="853" customFormat="false" ht="15.75" hidden="false" customHeight="true" outlineLevel="0" collapsed="false">
      <c r="A853" s="55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</row>
    <row r="854" customFormat="false" ht="15.75" hidden="false" customHeight="true" outlineLevel="0" collapsed="false">
      <c r="A854" s="55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</row>
    <row r="855" customFormat="false" ht="15.75" hidden="false" customHeight="true" outlineLevel="0" collapsed="false">
      <c r="A855" s="55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</row>
    <row r="856" customFormat="false" ht="15.75" hidden="false" customHeight="true" outlineLevel="0" collapsed="false">
      <c r="A856" s="55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</row>
    <row r="857" customFormat="false" ht="15.75" hidden="false" customHeight="true" outlineLevel="0" collapsed="false">
      <c r="A857" s="55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</row>
    <row r="858" customFormat="false" ht="15.75" hidden="false" customHeight="true" outlineLevel="0" collapsed="false">
      <c r="A858" s="55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</row>
    <row r="859" customFormat="false" ht="15.75" hidden="false" customHeight="true" outlineLevel="0" collapsed="false">
      <c r="A859" s="55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</row>
    <row r="860" customFormat="false" ht="15.75" hidden="false" customHeight="true" outlineLevel="0" collapsed="false">
      <c r="A860" s="55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</row>
    <row r="861" customFormat="false" ht="15.75" hidden="false" customHeight="true" outlineLevel="0" collapsed="false">
      <c r="A861" s="55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</row>
    <row r="862" customFormat="false" ht="15.75" hidden="false" customHeight="true" outlineLevel="0" collapsed="false">
      <c r="A862" s="55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</row>
    <row r="863" customFormat="false" ht="15.75" hidden="false" customHeight="true" outlineLevel="0" collapsed="false">
      <c r="A863" s="55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</row>
    <row r="864" customFormat="false" ht="15.75" hidden="false" customHeight="true" outlineLevel="0" collapsed="false">
      <c r="A864" s="55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</row>
    <row r="865" customFormat="false" ht="15.75" hidden="false" customHeight="true" outlineLevel="0" collapsed="false">
      <c r="A865" s="55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</row>
    <row r="866" customFormat="false" ht="15.75" hidden="false" customHeight="true" outlineLevel="0" collapsed="false">
      <c r="A866" s="55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</row>
    <row r="867" customFormat="false" ht="15.75" hidden="false" customHeight="true" outlineLevel="0" collapsed="false">
      <c r="A867" s="55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</row>
    <row r="868" customFormat="false" ht="15.75" hidden="false" customHeight="true" outlineLevel="0" collapsed="false">
      <c r="A868" s="55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</row>
    <row r="869" customFormat="false" ht="15.75" hidden="false" customHeight="true" outlineLevel="0" collapsed="false">
      <c r="A869" s="55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</row>
    <row r="870" customFormat="false" ht="15.75" hidden="false" customHeight="true" outlineLevel="0" collapsed="false">
      <c r="A870" s="55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</row>
    <row r="871" customFormat="false" ht="15.75" hidden="false" customHeight="true" outlineLevel="0" collapsed="false">
      <c r="A871" s="55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</row>
    <row r="872" customFormat="false" ht="15.75" hidden="false" customHeight="true" outlineLevel="0" collapsed="false">
      <c r="A872" s="55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</row>
    <row r="873" customFormat="false" ht="15.75" hidden="false" customHeight="true" outlineLevel="0" collapsed="false">
      <c r="A873" s="55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</row>
    <row r="874" customFormat="false" ht="15.75" hidden="false" customHeight="true" outlineLevel="0" collapsed="false">
      <c r="A874" s="55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</row>
    <row r="875" customFormat="false" ht="15.75" hidden="false" customHeight="true" outlineLevel="0" collapsed="false">
      <c r="A875" s="55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</row>
    <row r="876" customFormat="false" ht="15.75" hidden="false" customHeight="true" outlineLevel="0" collapsed="false">
      <c r="A876" s="55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</row>
    <row r="877" customFormat="false" ht="15.75" hidden="false" customHeight="true" outlineLevel="0" collapsed="false">
      <c r="A877" s="55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</row>
    <row r="878" customFormat="false" ht="15.75" hidden="false" customHeight="true" outlineLevel="0" collapsed="false">
      <c r="A878" s="55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</row>
    <row r="879" customFormat="false" ht="15.75" hidden="false" customHeight="true" outlineLevel="0" collapsed="false">
      <c r="A879" s="55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</row>
    <row r="880" customFormat="false" ht="15.75" hidden="false" customHeight="true" outlineLevel="0" collapsed="false">
      <c r="A880" s="55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</row>
    <row r="881" customFormat="false" ht="15.75" hidden="false" customHeight="true" outlineLevel="0" collapsed="false">
      <c r="A881" s="55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</row>
    <row r="882" customFormat="false" ht="15.75" hidden="false" customHeight="true" outlineLevel="0" collapsed="false">
      <c r="A882" s="55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</row>
    <row r="883" customFormat="false" ht="15.75" hidden="false" customHeight="true" outlineLevel="0" collapsed="false">
      <c r="A883" s="55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</row>
    <row r="884" customFormat="false" ht="15.75" hidden="false" customHeight="true" outlineLevel="0" collapsed="false">
      <c r="A884" s="55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</row>
    <row r="885" customFormat="false" ht="15.75" hidden="false" customHeight="true" outlineLevel="0" collapsed="false">
      <c r="A885" s="55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</row>
    <row r="886" customFormat="false" ht="15.75" hidden="false" customHeight="true" outlineLevel="0" collapsed="false">
      <c r="A886" s="55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</row>
    <row r="887" customFormat="false" ht="15.75" hidden="false" customHeight="true" outlineLevel="0" collapsed="false">
      <c r="A887" s="55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</row>
    <row r="888" customFormat="false" ht="15.75" hidden="false" customHeight="true" outlineLevel="0" collapsed="false">
      <c r="A888" s="55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</row>
    <row r="889" customFormat="false" ht="15.75" hidden="false" customHeight="true" outlineLevel="0" collapsed="false">
      <c r="A889" s="55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</row>
    <row r="890" customFormat="false" ht="15.75" hidden="false" customHeight="true" outlineLevel="0" collapsed="false">
      <c r="A890" s="55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</row>
    <row r="891" customFormat="false" ht="15.75" hidden="false" customHeight="true" outlineLevel="0" collapsed="false">
      <c r="A891" s="55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</row>
    <row r="892" customFormat="false" ht="15.75" hidden="false" customHeight="true" outlineLevel="0" collapsed="false">
      <c r="A892" s="55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</row>
    <row r="893" customFormat="false" ht="15.75" hidden="false" customHeight="true" outlineLevel="0" collapsed="false">
      <c r="A893" s="55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</row>
    <row r="894" customFormat="false" ht="15.75" hidden="false" customHeight="true" outlineLevel="0" collapsed="false">
      <c r="A894" s="55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</row>
    <row r="895" customFormat="false" ht="15.75" hidden="false" customHeight="true" outlineLevel="0" collapsed="false">
      <c r="A895" s="55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</row>
    <row r="896" customFormat="false" ht="15.75" hidden="false" customHeight="true" outlineLevel="0" collapsed="false">
      <c r="A896" s="55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</row>
    <row r="897" customFormat="false" ht="15.75" hidden="false" customHeight="true" outlineLevel="0" collapsed="false">
      <c r="A897" s="55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</row>
    <row r="898" customFormat="false" ht="15.75" hidden="false" customHeight="true" outlineLevel="0" collapsed="false">
      <c r="A898" s="55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</row>
    <row r="899" customFormat="false" ht="15.75" hidden="false" customHeight="true" outlineLevel="0" collapsed="false">
      <c r="A899" s="55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</row>
    <row r="900" customFormat="false" ht="15.75" hidden="false" customHeight="true" outlineLevel="0" collapsed="false">
      <c r="A900" s="55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</row>
    <row r="901" customFormat="false" ht="15.75" hidden="false" customHeight="true" outlineLevel="0" collapsed="false">
      <c r="A901" s="55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</row>
    <row r="902" customFormat="false" ht="15.75" hidden="false" customHeight="true" outlineLevel="0" collapsed="false">
      <c r="A902" s="55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</row>
    <row r="903" customFormat="false" ht="15.75" hidden="false" customHeight="true" outlineLevel="0" collapsed="false">
      <c r="A903" s="55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</row>
    <row r="904" customFormat="false" ht="15.75" hidden="false" customHeight="true" outlineLevel="0" collapsed="false">
      <c r="A904" s="55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</row>
    <row r="905" customFormat="false" ht="15.75" hidden="false" customHeight="true" outlineLevel="0" collapsed="false">
      <c r="A905" s="55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</row>
    <row r="906" customFormat="false" ht="15.75" hidden="false" customHeight="true" outlineLevel="0" collapsed="false">
      <c r="A906" s="55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</row>
    <row r="907" customFormat="false" ht="15.75" hidden="false" customHeight="true" outlineLevel="0" collapsed="false">
      <c r="A907" s="55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</row>
    <row r="908" customFormat="false" ht="15.75" hidden="false" customHeight="true" outlineLevel="0" collapsed="false">
      <c r="A908" s="55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</row>
    <row r="909" customFormat="false" ht="15.75" hidden="false" customHeight="true" outlineLevel="0" collapsed="false">
      <c r="A909" s="55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</row>
    <row r="910" customFormat="false" ht="15.75" hidden="false" customHeight="true" outlineLevel="0" collapsed="false">
      <c r="A910" s="55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</row>
    <row r="911" customFormat="false" ht="15.75" hidden="false" customHeight="true" outlineLevel="0" collapsed="false">
      <c r="A911" s="55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</row>
    <row r="912" customFormat="false" ht="15.75" hidden="false" customHeight="true" outlineLevel="0" collapsed="false">
      <c r="A912" s="55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</row>
    <row r="913" customFormat="false" ht="15.75" hidden="false" customHeight="true" outlineLevel="0" collapsed="false">
      <c r="A913" s="55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</row>
    <row r="914" customFormat="false" ht="15.75" hidden="false" customHeight="true" outlineLevel="0" collapsed="false">
      <c r="A914" s="55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</row>
    <row r="915" customFormat="false" ht="15.75" hidden="false" customHeight="true" outlineLevel="0" collapsed="false">
      <c r="A915" s="55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</row>
    <row r="916" customFormat="false" ht="15.75" hidden="false" customHeight="true" outlineLevel="0" collapsed="false">
      <c r="A916" s="55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</row>
    <row r="917" customFormat="false" ht="15.75" hidden="false" customHeight="true" outlineLevel="0" collapsed="false">
      <c r="A917" s="55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</row>
    <row r="918" customFormat="false" ht="15.75" hidden="false" customHeight="true" outlineLevel="0" collapsed="false">
      <c r="A918" s="55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</row>
    <row r="919" customFormat="false" ht="15.75" hidden="false" customHeight="true" outlineLevel="0" collapsed="false">
      <c r="A919" s="55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</row>
    <row r="920" customFormat="false" ht="15.75" hidden="false" customHeight="true" outlineLevel="0" collapsed="false">
      <c r="A920" s="55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</row>
    <row r="921" customFormat="false" ht="15.75" hidden="false" customHeight="true" outlineLevel="0" collapsed="false">
      <c r="A921" s="55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</row>
    <row r="922" customFormat="false" ht="15.75" hidden="false" customHeight="true" outlineLevel="0" collapsed="false">
      <c r="A922" s="55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</row>
    <row r="923" customFormat="false" ht="15.75" hidden="false" customHeight="true" outlineLevel="0" collapsed="false">
      <c r="A923" s="55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</row>
    <row r="924" customFormat="false" ht="15.75" hidden="false" customHeight="true" outlineLevel="0" collapsed="false">
      <c r="A924" s="55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</row>
    <row r="925" customFormat="false" ht="15.75" hidden="false" customHeight="true" outlineLevel="0" collapsed="false">
      <c r="A925" s="55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</row>
    <row r="926" customFormat="false" ht="15.75" hidden="false" customHeight="true" outlineLevel="0" collapsed="false">
      <c r="A926" s="55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</row>
    <row r="927" customFormat="false" ht="15.75" hidden="false" customHeight="true" outlineLevel="0" collapsed="false">
      <c r="A927" s="55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</row>
    <row r="928" customFormat="false" ht="15.75" hidden="false" customHeight="true" outlineLevel="0" collapsed="false">
      <c r="A928" s="55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</row>
    <row r="929" customFormat="false" ht="15.75" hidden="false" customHeight="true" outlineLevel="0" collapsed="false">
      <c r="A929" s="55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</row>
    <row r="930" customFormat="false" ht="15.75" hidden="false" customHeight="true" outlineLevel="0" collapsed="false">
      <c r="A930" s="55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</row>
    <row r="931" customFormat="false" ht="15.75" hidden="false" customHeight="true" outlineLevel="0" collapsed="false">
      <c r="A931" s="55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</row>
    <row r="932" customFormat="false" ht="15.75" hidden="false" customHeight="true" outlineLevel="0" collapsed="false">
      <c r="A932" s="55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</row>
    <row r="933" customFormat="false" ht="15.75" hidden="false" customHeight="true" outlineLevel="0" collapsed="false">
      <c r="A933" s="55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</row>
    <row r="934" customFormat="false" ht="15.75" hidden="false" customHeight="true" outlineLevel="0" collapsed="false">
      <c r="A934" s="55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</row>
    <row r="935" customFormat="false" ht="15.75" hidden="false" customHeight="true" outlineLevel="0" collapsed="false">
      <c r="A935" s="55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</row>
    <row r="936" customFormat="false" ht="15.75" hidden="false" customHeight="true" outlineLevel="0" collapsed="false">
      <c r="A936" s="55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</row>
    <row r="937" customFormat="false" ht="15.75" hidden="false" customHeight="true" outlineLevel="0" collapsed="false">
      <c r="A937" s="55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</row>
    <row r="938" customFormat="false" ht="15.75" hidden="false" customHeight="true" outlineLevel="0" collapsed="false">
      <c r="A938" s="55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</row>
    <row r="939" customFormat="false" ht="15.75" hidden="false" customHeight="true" outlineLevel="0" collapsed="false">
      <c r="A939" s="55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</row>
    <row r="940" customFormat="false" ht="15.75" hidden="false" customHeight="true" outlineLevel="0" collapsed="false">
      <c r="A940" s="55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</row>
    <row r="941" customFormat="false" ht="15.75" hidden="false" customHeight="true" outlineLevel="0" collapsed="false">
      <c r="A941" s="55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</row>
    <row r="942" customFormat="false" ht="15.75" hidden="false" customHeight="true" outlineLevel="0" collapsed="false">
      <c r="A942" s="55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</row>
    <row r="943" customFormat="false" ht="15.75" hidden="false" customHeight="true" outlineLevel="0" collapsed="false">
      <c r="A943" s="55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</row>
    <row r="944" customFormat="false" ht="15.75" hidden="false" customHeight="true" outlineLevel="0" collapsed="false">
      <c r="A944" s="55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</row>
    <row r="945" customFormat="false" ht="15.75" hidden="false" customHeight="true" outlineLevel="0" collapsed="false">
      <c r="A945" s="55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</row>
    <row r="946" customFormat="false" ht="15.75" hidden="false" customHeight="true" outlineLevel="0" collapsed="false">
      <c r="A946" s="55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</row>
    <row r="947" customFormat="false" ht="15.75" hidden="false" customHeight="true" outlineLevel="0" collapsed="false">
      <c r="A947" s="55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</row>
    <row r="948" customFormat="false" ht="15.75" hidden="false" customHeight="true" outlineLevel="0" collapsed="false">
      <c r="A948" s="55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</row>
    <row r="949" customFormat="false" ht="15.75" hidden="false" customHeight="true" outlineLevel="0" collapsed="false">
      <c r="A949" s="55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</row>
    <row r="950" customFormat="false" ht="15.75" hidden="false" customHeight="true" outlineLevel="0" collapsed="false">
      <c r="A950" s="55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</row>
    <row r="951" customFormat="false" ht="15.75" hidden="false" customHeight="true" outlineLevel="0" collapsed="false">
      <c r="A951" s="55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</row>
    <row r="952" customFormat="false" ht="15.75" hidden="false" customHeight="true" outlineLevel="0" collapsed="false">
      <c r="A952" s="55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</row>
    <row r="953" customFormat="false" ht="15.75" hidden="false" customHeight="true" outlineLevel="0" collapsed="false">
      <c r="A953" s="55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</row>
    <row r="954" customFormat="false" ht="15.75" hidden="false" customHeight="true" outlineLevel="0" collapsed="false">
      <c r="A954" s="55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</row>
    <row r="955" customFormat="false" ht="15.75" hidden="false" customHeight="true" outlineLevel="0" collapsed="false">
      <c r="A955" s="55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</row>
    <row r="956" customFormat="false" ht="15.75" hidden="false" customHeight="true" outlineLevel="0" collapsed="false">
      <c r="A956" s="55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</row>
    <row r="957" customFormat="false" ht="15.75" hidden="false" customHeight="true" outlineLevel="0" collapsed="false">
      <c r="A957" s="55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</row>
    <row r="958" customFormat="false" ht="15.75" hidden="false" customHeight="true" outlineLevel="0" collapsed="false">
      <c r="A958" s="55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</row>
    <row r="959" customFormat="false" ht="15.75" hidden="false" customHeight="true" outlineLevel="0" collapsed="false">
      <c r="A959" s="55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</row>
    <row r="960" customFormat="false" ht="15.75" hidden="false" customHeight="true" outlineLevel="0" collapsed="false">
      <c r="A960" s="55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</row>
    <row r="961" customFormat="false" ht="15.75" hidden="false" customHeight="true" outlineLevel="0" collapsed="false">
      <c r="A961" s="55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</row>
    <row r="962" customFormat="false" ht="15.75" hidden="false" customHeight="true" outlineLevel="0" collapsed="false">
      <c r="A962" s="55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</row>
    <row r="963" customFormat="false" ht="15.75" hidden="false" customHeight="true" outlineLevel="0" collapsed="false">
      <c r="A963" s="55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</row>
    <row r="964" customFormat="false" ht="15.75" hidden="false" customHeight="true" outlineLevel="0" collapsed="false">
      <c r="A964" s="55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</row>
    <row r="965" customFormat="false" ht="15.75" hidden="false" customHeight="true" outlineLevel="0" collapsed="false">
      <c r="A965" s="55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</row>
    <row r="966" customFormat="false" ht="15.75" hidden="false" customHeight="true" outlineLevel="0" collapsed="false">
      <c r="A966" s="55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</row>
    <row r="967" customFormat="false" ht="15.75" hidden="false" customHeight="true" outlineLevel="0" collapsed="false">
      <c r="A967" s="55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</row>
    <row r="968" customFormat="false" ht="15.75" hidden="false" customHeight="true" outlineLevel="0" collapsed="false">
      <c r="A968" s="55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</row>
    <row r="969" customFormat="false" ht="15.75" hidden="false" customHeight="true" outlineLevel="0" collapsed="false">
      <c r="A969" s="55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</row>
    <row r="970" customFormat="false" ht="15.75" hidden="false" customHeight="true" outlineLevel="0" collapsed="false">
      <c r="A970" s="55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</row>
    <row r="971" customFormat="false" ht="15.75" hidden="false" customHeight="true" outlineLevel="0" collapsed="false">
      <c r="A971" s="55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</row>
    <row r="972" customFormat="false" ht="15.75" hidden="false" customHeight="true" outlineLevel="0" collapsed="false">
      <c r="A972" s="55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</row>
    <row r="973" customFormat="false" ht="15.75" hidden="false" customHeight="true" outlineLevel="0" collapsed="false">
      <c r="A973" s="55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</row>
    <row r="974" customFormat="false" ht="15.75" hidden="false" customHeight="true" outlineLevel="0" collapsed="false">
      <c r="A974" s="55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</row>
    <row r="975" customFormat="false" ht="15.75" hidden="false" customHeight="true" outlineLevel="0" collapsed="false">
      <c r="A975" s="55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</row>
    <row r="976" customFormat="false" ht="15.75" hidden="false" customHeight="true" outlineLevel="0" collapsed="false">
      <c r="A976" s="55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</row>
    <row r="977" customFormat="false" ht="15.75" hidden="false" customHeight="true" outlineLevel="0" collapsed="false">
      <c r="A977" s="55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</row>
    <row r="978" customFormat="false" ht="15.75" hidden="false" customHeight="true" outlineLevel="0" collapsed="false">
      <c r="A978" s="55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</row>
    <row r="979" customFormat="false" ht="15.75" hidden="false" customHeight="true" outlineLevel="0" collapsed="false">
      <c r="A979" s="55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</row>
    <row r="980" customFormat="false" ht="15.75" hidden="false" customHeight="true" outlineLevel="0" collapsed="false">
      <c r="A980" s="55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</row>
    <row r="981" customFormat="false" ht="15.75" hidden="false" customHeight="true" outlineLevel="0" collapsed="false">
      <c r="A981" s="55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</row>
    <row r="982" customFormat="false" ht="15.75" hidden="false" customHeight="true" outlineLevel="0" collapsed="false">
      <c r="A982" s="55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</row>
    <row r="983" customFormat="false" ht="15.75" hidden="false" customHeight="true" outlineLevel="0" collapsed="false">
      <c r="A983" s="55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</row>
    <row r="984" customFormat="false" ht="15.75" hidden="false" customHeight="true" outlineLevel="0" collapsed="false">
      <c r="A984" s="55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</row>
    <row r="985" customFormat="false" ht="15.75" hidden="false" customHeight="true" outlineLevel="0" collapsed="false">
      <c r="A985" s="55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</row>
    <row r="986" customFormat="false" ht="15.75" hidden="false" customHeight="true" outlineLevel="0" collapsed="false">
      <c r="A986" s="55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</row>
    <row r="987" customFormat="false" ht="15.75" hidden="false" customHeight="true" outlineLevel="0" collapsed="false">
      <c r="A987" s="55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</row>
    <row r="988" customFormat="false" ht="15.75" hidden="false" customHeight="true" outlineLevel="0" collapsed="false">
      <c r="A988" s="55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</row>
    <row r="989" customFormat="false" ht="15.75" hidden="false" customHeight="true" outlineLevel="0" collapsed="false">
      <c r="A989" s="55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</row>
    <row r="990" customFormat="false" ht="15.75" hidden="false" customHeight="true" outlineLevel="0" collapsed="false">
      <c r="A990" s="55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</row>
    <row r="991" customFormat="false" ht="15.75" hidden="false" customHeight="true" outlineLevel="0" collapsed="false">
      <c r="A991" s="55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</row>
    <row r="992" customFormat="false" ht="15.75" hidden="false" customHeight="true" outlineLevel="0" collapsed="false">
      <c r="A992" s="55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</row>
    <row r="993" customFormat="false" ht="15.75" hidden="false" customHeight="true" outlineLevel="0" collapsed="false">
      <c r="A993" s="55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</row>
    <row r="994" customFormat="false" ht="15.75" hidden="false" customHeight="true" outlineLevel="0" collapsed="false">
      <c r="A994" s="55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</row>
    <row r="995" customFormat="false" ht="15.75" hidden="false" customHeight="true" outlineLevel="0" collapsed="false">
      <c r="A995" s="55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</row>
    <row r="996" customFormat="false" ht="15.75" hidden="false" customHeight="true" outlineLevel="0" collapsed="false">
      <c r="A996" s="55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</row>
    <row r="997" customFormat="false" ht="15.75" hidden="false" customHeight="true" outlineLevel="0" collapsed="false">
      <c r="A997" s="55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</row>
    <row r="998" customFormat="false" ht="15.75" hidden="false" customHeight="true" outlineLevel="0" collapsed="false">
      <c r="A998" s="55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</row>
    <row r="999" customFormat="false" ht="15.75" hidden="false" customHeight="true" outlineLevel="0" collapsed="false">
      <c r="A999" s="55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</row>
    <row r="1000" customFormat="false" ht="15.75" hidden="false" customHeight="true" outlineLevel="0" collapsed="false">
      <c r="A1000" s="55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</row>
    <row r="1001" customFormat="false" ht="15.75" hidden="false" customHeight="true" outlineLevel="0" collapsed="false">
      <c r="A1001" s="55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</row>
    <row r="1002" customFormat="false" ht="15.75" hidden="false" customHeight="true" outlineLevel="0" collapsed="false">
      <c r="A1002" s="55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</row>
    <row r="1003" customFormat="false" ht="15.75" hidden="false" customHeight="true" outlineLevel="0" collapsed="false">
      <c r="A1003" s="55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</row>
    <row r="1004" customFormat="false" ht="15.75" hidden="false" customHeight="true" outlineLevel="0" collapsed="false">
      <c r="A1004" s="55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</row>
    <row r="1005" customFormat="false" ht="15.75" hidden="false" customHeight="true" outlineLevel="0" collapsed="false">
      <c r="A1005" s="55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</row>
    <row r="1006" customFormat="false" ht="15.75" hidden="false" customHeight="true" outlineLevel="0" collapsed="false">
      <c r="A1006" s="55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</row>
    <row r="1007" customFormat="false" ht="15.75" hidden="false" customHeight="true" outlineLevel="0" collapsed="false">
      <c r="A1007" s="55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</row>
    <row r="1008" customFormat="false" ht="15.75" hidden="false" customHeight="true" outlineLevel="0" collapsed="false">
      <c r="A1008" s="55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</row>
  </sheetData>
  <mergeCells count="40">
    <mergeCell ref="A1:AK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4:AK4"/>
    <mergeCell ref="B5:AK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B20:AK20"/>
  </mergeCells>
  <dataValidations count="2">
    <dataValidation allowBlank="true" errorStyle="stop" operator="between" showDropDown="true" showErrorMessage="false" showInputMessage="false" sqref="B8:AK18 B22:M23" type="custom">
      <formula1>AND(ISNUMBER(B8),(NOT(OR(NOT(ISERROR(DATEVALUE(B8))), AND(ISNUMBER(B8), LEFT(CELL("format", B8))="D")))))</formula1>
      <formula2>0</formula2>
    </dataValidation>
    <dataValidation allowBlank="true" errorStyle="stop" operator="between" showDropDown="true" showErrorMessage="false" showInputMessage="false" sqref="A8:A18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.75"/>
    <col collapsed="false" customWidth="true" hidden="false" outlineLevel="0" max="2" min="2" style="1" width="17.88"/>
    <col collapsed="false" customWidth="true" hidden="false" outlineLevel="0" max="3" min="3" style="1" width="16.89"/>
    <col collapsed="false" customWidth="true" hidden="false" outlineLevel="0" max="4" min="4" style="1" width="17.63"/>
    <col collapsed="false" customWidth="true" hidden="false" outlineLevel="0" max="5" min="5" style="1" width="14.75"/>
    <col collapsed="false" customWidth="true" hidden="false" outlineLevel="0" max="6" min="6" style="1" width="20.13"/>
    <col collapsed="false" customWidth="true" hidden="false" outlineLevel="0" max="7" min="7" style="1" width="20.88"/>
    <col collapsed="false" customWidth="true" hidden="false" outlineLevel="0" max="8" min="8" style="1" width="14.75"/>
    <col collapsed="false" customWidth="true" hidden="false" outlineLevel="0" max="9" min="9" style="1" width="20.13"/>
    <col collapsed="false" customWidth="true" hidden="false" outlineLevel="0" max="10" min="10" style="1" width="20.88"/>
    <col collapsed="false" customWidth="true" hidden="false" outlineLevel="0" max="11" min="11" style="1" width="15.38"/>
    <col collapsed="false" customWidth="true" hidden="false" outlineLevel="0" max="12" min="12" style="1" width="20.13"/>
    <col collapsed="false" customWidth="true" hidden="false" outlineLevel="0" max="13" min="13" style="1" width="20.88"/>
    <col collapsed="false" customWidth="true" hidden="false" outlineLevel="0" max="14" min="14" style="1" width="14.75"/>
    <col collapsed="false" customWidth="true" hidden="false" outlineLevel="0" max="15" min="15" style="1" width="20.13"/>
    <col collapsed="false" customWidth="true" hidden="false" outlineLevel="0" max="16" min="16" style="1" width="20.88"/>
    <col collapsed="false" customWidth="true" hidden="false" outlineLevel="0" max="17" min="17" style="1" width="14.75"/>
    <col collapsed="false" customWidth="true" hidden="false" outlineLevel="0" max="18" min="18" style="1" width="20.13"/>
    <col collapsed="false" customWidth="true" hidden="false" outlineLevel="0" max="19" min="19" style="1" width="20.88"/>
    <col collapsed="false" customWidth="true" hidden="false" outlineLevel="0" max="20" min="20" style="1" width="14.88"/>
    <col collapsed="false" customWidth="true" hidden="false" outlineLevel="0" max="21" min="21" style="1" width="20.13"/>
    <col collapsed="false" customWidth="true" hidden="false" outlineLevel="0" max="22" min="22" style="1" width="20.88"/>
    <col collapsed="false" customWidth="true" hidden="false" outlineLevel="0" max="23" min="23" style="1" width="14.75"/>
    <col collapsed="false" customWidth="true" hidden="false" outlineLevel="0" max="24" min="24" style="1" width="20.13"/>
    <col collapsed="false" customWidth="true" hidden="false" outlineLevel="0" max="25" min="25" style="1" width="20.88"/>
    <col collapsed="false" customWidth="true" hidden="false" outlineLevel="0" max="26" min="26" style="1" width="14.75"/>
    <col collapsed="false" customWidth="true" hidden="false" outlineLevel="0" max="27" min="27" style="1" width="20.13"/>
    <col collapsed="false" customWidth="true" hidden="false" outlineLevel="0" max="28" min="28" style="1" width="20.88"/>
    <col collapsed="false" customWidth="true" hidden="false" outlineLevel="0" max="29" min="29" style="1" width="14.75"/>
    <col collapsed="false" customWidth="true" hidden="false" outlineLevel="0" max="30" min="30" style="1" width="20.13"/>
    <col collapsed="false" customWidth="true" hidden="false" outlineLevel="0" max="31" min="31" style="1" width="20.88"/>
    <col collapsed="false" customWidth="true" hidden="false" outlineLevel="0" max="32" min="32" style="1" width="14.75"/>
    <col collapsed="false" customWidth="true" hidden="false" outlineLevel="0" max="33" min="33" style="1" width="20.13"/>
    <col collapsed="false" customWidth="true" hidden="false" outlineLevel="0" max="34" min="34" style="1" width="20.88"/>
    <col collapsed="false" customWidth="true" hidden="false" outlineLevel="0" max="35" min="35" style="1" width="14.75"/>
    <col collapsed="false" customWidth="true" hidden="false" outlineLevel="0" max="36" min="36" style="1" width="16.89"/>
    <col collapsed="false" customWidth="true" hidden="false" outlineLevel="0" max="37" min="37" style="1" width="20.88"/>
  </cols>
  <sheetData>
    <row r="1" customFormat="false" ht="18" hidden="false" customHeight="true" outlineLevel="0" collapsed="false">
      <c r="A1" s="29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</row>
    <row r="2" customFormat="false" ht="18" hidden="false" customHeight="true" outlineLevel="0" collapsed="false">
      <c r="A2" s="30"/>
      <c r="B2" s="31" t="s">
        <v>14</v>
      </c>
      <c r="C2" s="31"/>
      <c r="D2" s="31"/>
      <c r="E2" s="31" t="s">
        <v>15</v>
      </c>
      <c r="F2" s="31"/>
      <c r="G2" s="31"/>
      <c r="H2" s="31" t="s">
        <v>16</v>
      </c>
      <c r="I2" s="31"/>
      <c r="J2" s="31"/>
      <c r="K2" s="31" t="s">
        <v>17</v>
      </c>
      <c r="L2" s="31"/>
      <c r="M2" s="31"/>
      <c r="N2" s="31" t="s">
        <v>18</v>
      </c>
      <c r="O2" s="31"/>
      <c r="P2" s="31"/>
      <c r="Q2" s="31" t="s">
        <v>19</v>
      </c>
      <c r="R2" s="31"/>
      <c r="S2" s="31"/>
      <c r="T2" s="31" t="s">
        <v>20</v>
      </c>
      <c r="U2" s="31"/>
      <c r="V2" s="31"/>
      <c r="W2" s="31" t="s">
        <v>21</v>
      </c>
      <c r="X2" s="31"/>
      <c r="Y2" s="31"/>
      <c r="Z2" s="31" t="s">
        <v>22</v>
      </c>
      <c r="AA2" s="31"/>
      <c r="AB2" s="31"/>
      <c r="AC2" s="31" t="s">
        <v>23</v>
      </c>
      <c r="AD2" s="31"/>
      <c r="AE2" s="31"/>
      <c r="AF2" s="31" t="s">
        <v>24</v>
      </c>
      <c r="AG2" s="31"/>
      <c r="AH2" s="31"/>
      <c r="AI2" s="31" t="s">
        <v>25</v>
      </c>
      <c r="AJ2" s="31"/>
      <c r="AK2" s="31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</row>
    <row r="3" customFormat="false" ht="18" hidden="false" customHeight="true" outlineLevel="0" collapsed="false">
      <c r="A3" s="32" t="s">
        <v>73</v>
      </c>
      <c r="B3" s="33" t="n">
        <v>2314.93</v>
      </c>
      <c r="C3" s="33"/>
      <c r="D3" s="33"/>
      <c r="E3" s="33" t="n">
        <v>1518.92</v>
      </c>
      <c r="F3" s="33"/>
      <c r="G3" s="33"/>
      <c r="H3" s="33" t="n">
        <v>1046.29</v>
      </c>
      <c r="I3" s="33"/>
      <c r="J3" s="33"/>
      <c r="K3" s="33" t="n">
        <v>561.49</v>
      </c>
      <c r="L3" s="33"/>
      <c r="M3" s="33"/>
      <c r="N3" s="33" t="n">
        <v>2018.93</v>
      </c>
      <c r="O3" s="33"/>
      <c r="P3" s="33"/>
      <c r="Q3" s="33" t="n">
        <v>2266.19</v>
      </c>
      <c r="R3" s="33"/>
      <c r="S3" s="33"/>
      <c r="T3" s="33" t="n">
        <v>3035.53</v>
      </c>
      <c r="U3" s="33"/>
      <c r="V3" s="33"/>
      <c r="W3" s="33" t="n">
        <v>2595.75</v>
      </c>
      <c r="X3" s="33"/>
      <c r="Y3" s="33"/>
      <c r="Z3" s="33" t="n">
        <v>1990.05</v>
      </c>
      <c r="AA3" s="33"/>
      <c r="AB3" s="33"/>
      <c r="AC3" s="33" t="n">
        <v>1509.66</v>
      </c>
      <c r="AD3" s="33"/>
      <c r="AE3" s="33"/>
      <c r="AF3" s="33" t="n">
        <v>1438.4</v>
      </c>
      <c r="AG3" s="33"/>
      <c r="AH3" s="33"/>
      <c r="AI3" s="33" t="n">
        <v>1559.32</v>
      </c>
      <c r="AJ3" s="33"/>
      <c r="AK3" s="33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</row>
    <row r="4" customFormat="false" ht="15.75" hidden="false" customHeight="true" outlineLevel="0" collapsed="false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</row>
    <row r="5" customFormat="false" ht="15.75" hidden="false" customHeight="true" outlineLevel="0" collapsed="false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</row>
    <row r="6" customFormat="false" ht="18" hidden="false" customHeight="true" outlineLevel="0" collapsed="false">
      <c r="A6" s="32" t="s">
        <v>11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</row>
    <row r="7" customFormat="false" ht="18" hidden="false" customHeight="true" outlineLevel="0" collapsed="false">
      <c r="A7" s="36"/>
      <c r="B7" s="37" t="s">
        <v>14</v>
      </c>
      <c r="C7" s="37"/>
      <c r="D7" s="37"/>
      <c r="E7" s="37" t="s">
        <v>15</v>
      </c>
      <c r="F7" s="37"/>
      <c r="G7" s="37"/>
      <c r="H7" s="37" t="s">
        <v>16</v>
      </c>
      <c r="I7" s="37"/>
      <c r="J7" s="37"/>
      <c r="K7" s="37" t="s">
        <v>17</v>
      </c>
      <c r="L7" s="37"/>
      <c r="M7" s="37"/>
      <c r="N7" s="37" t="s">
        <v>18</v>
      </c>
      <c r="O7" s="37"/>
      <c r="P7" s="37"/>
      <c r="Q7" s="37" t="s">
        <v>19</v>
      </c>
      <c r="R7" s="37"/>
      <c r="S7" s="37"/>
      <c r="T7" s="37" t="s">
        <v>20</v>
      </c>
      <c r="U7" s="37"/>
      <c r="V7" s="37"/>
      <c r="W7" s="37" t="s">
        <v>21</v>
      </c>
      <c r="X7" s="37"/>
      <c r="Y7" s="37"/>
      <c r="Z7" s="37" t="s">
        <v>22</v>
      </c>
      <c r="AA7" s="37"/>
      <c r="AB7" s="37"/>
      <c r="AC7" s="37" t="s">
        <v>23</v>
      </c>
      <c r="AD7" s="37"/>
      <c r="AE7" s="37"/>
      <c r="AF7" s="37" t="s">
        <v>24</v>
      </c>
      <c r="AG7" s="37"/>
      <c r="AH7" s="37"/>
      <c r="AI7" s="37" t="s">
        <v>25</v>
      </c>
      <c r="AJ7" s="37"/>
      <c r="AK7" s="37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</row>
    <row r="8" customFormat="false" ht="22.5" hidden="false" customHeight="true" outlineLevel="0" collapsed="false">
      <c r="A8" s="38" t="s">
        <v>110</v>
      </c>
      <c r="B8" s="39" t="s">
        <v>109</v>
      </c>
      <c r="C8" s="39" t="s">
        <v>66</v>
      </c>
      <c r="D8" s="39" t="s">
        <v>111</v>
      </c>
      <c r="E8" s="39" t="s">
        <v>112</v>
      </c>
      <c r="F8" s="39" t="s">
        <v>76</v>
      </c>
      <c r="G8" s="39" t="s">
        <v>113</v>
      </c>
      <c r="H8" s="39" t="s">
        <v>114</v>
      </c>
      <c r="I8" s="39" t="s">
        <v>79</v>
      </c>
      <c r="J8" s="39" t="s">
        <v>115</v>
      </c>
      <c r="K8" s="39" t="s">
        <v>116</v>
      </c>
      <c r="L8" s="39" t="s">
        <v>82</v>
      </c>
      <c r="M8" s="39" t="s">
        <v>117</v>
      </c>
      <c r="N8" s="39" t="s">
        <v>118</v>
      </c>
      <c r="O8" s="39" t="s">
        <v>85</v>
      </c>
      <c r="P8" s="39" t="s">
        <v>119</v>
      </c>
      <c r="Q8" s="39" t="s">
        <v>120</v>
      </c>
      <c r="R8" s="39" t="s">
        <v>88</v>
      </c>
      <c r="S8" s="39" t="s">
        <v>121</v>
      </c>
      <c r="T8" s="39" t="s">
        <v>122</v>
      </c>
      <c r="U8" s="39" t="s">
        <v>91</v>
      </c>
      <c r="V8" s="39" t="s">
        <v>123</v>
      </c>
      <c r="W8" s="70" t="s">
        <v>124</v>
      </c>
      <c r="X8" s="39" t="s">
        <v>94</v>
      </c>
      <c r="Y8" s="71" t="s">
        <v>125</v>
      </c>
      <c r="Z8" s="70" t="s">
        <v>126</v>
      </c>
      <c r="AA8" s="39" t="s">
        <v>97</v>
      </c>
      <c r="AB8" s="71" t="s">
        <v>127</v>
      </c>
      <c r="AC8" s="39" t="s">
        <v>128</v>
      </c>
      <c r="AD8" s="39" t="s">
        <v>100</v>
      </c>
      <c r="AE8" s="39" t="s">
        <v>129</v>
      </c>
      <c r="AF8" s="39" t="s">
        <v>130</v>
      </c>
      <c r="AG8" s="39" t="s">
        <v>103</v>
      </c>
      <c r="AH8" s="39" t="s">
        <v>131</v>
      </c>
      <c r="AI8" s="39" t="s">
        <v>132</v>
      </c>
      <c r="AJ8" s="39" t="s">
        <v>106</v>
      </c>
      <c r="AK8" s="39" t="s">
        <v>133</v>
      </c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</row>
    <row r="9" customFormat="false" ht="22.5" hidden="false" customHeight="true" outlineLevel="0" collapsed="false">
      <c r="A9" s="73" t="s">
        <v>40</v>
      </c>
      <c r="B9" s="74" t="n">
        <v>5013.5</v>
      </c>
      <c r="C9" s="75" t="n">
        <v>0</v>
      </c>
      <c r="D9" s="76"/>
      <c r="E9" s="74" t="n">
        <v>5065.75</v>
      </c>
      <c r="F9" s="75" t="n">
        <v>0</v>
      </c>
      <c r="G9" s="76" t="n">
        <f aca="false">E9-B9</f>
        <v>52.25</v>
      </c>
      <c r="H9" s="74" t="n">
        <v>2875.75</v>
      </c>
      <c r="I9" s="75" t="n">
        <v>0</v>
      </c>
      <c r="J9" s="76" t="n">
        <f aca="false">H9-E9</f>
        <v>-2190</v>
      </c>
      <c r="K9" s="74" t="n">
        <v>3925.75</v>
      </c>
      <c r="L9" s="75" t="n">
        <v>1900</v>
      </c>
      <c r="M9" s="76" t="n">
        <f aca="false">K9-H9</f>
        <v>1050</v>
      </c>
      <c r="N9" s="74" t="n">
        <v>4378</v>
      </c>
      <c r="O9" s="75" t="n">
        <v>500</v>
      </c>
      <c r="P9" s="76" t="n">
        <f aca="false">N9-K9</f>
        <v>452.25</v>
      </c>
      <c r="Q9" s="74" t="n">
        <v>4500</v>
      </c>
      <c r="R9" s="75" t="n">
        <v>72</v>
      </c>
      <c r="S9" s="76" t="n">
        <f aca="false">Q9-N9</f>
        <v>122</v>
      </c>
      <c r="T9" s="74" t="n">
        <v>4500</v>
      </c>
      <c r="U9" s="75" t="n">
        <v>0</v>
      </c>
      <c r="V9" s="77" t="n">
        <f aca="false">T9-Q9</f>
        <v>0</v>
      </c>
      <c r="W9" s="74" t="n">
        <v>5052.25</v>
      </c>
      <c r="X9" s="77" t="n">
        <v>550</v>
      </c>
      <c r="Y9" s="76" t="n">
        <f aca="false">W9-T9</f>
        <v>552.25</v>
      </c>
      <c r="Z9" s="74" t="n">
        <v>5052.25</v>
      </c>
      <c r="AA9" s="75" t="n">
        <v>0</v>
      </c>
      <c r="AB9" s="76" t="n">
        <f aca="false">Z9-W9</f>
        <v>0</v>
      </c>
      <c r="AC9" s="78" t="n">
        <v>4702.25</v>
      </c>
      <c r="AD9" s="75" t="n">
        <v>350</v>
      </c>
      <c r="AE9" s="77" t="n">
        <f aca="false">AC9-Z9</f>
        <v>-350</v>
      </c>
      <c r="AF9" s="74" t="n">
        <v>3653.06</v>
      </c>
      <c r="AG9" s="75" t="n">
        <v>0</v>
      </c>
      <c r="AH9" s="77" t="n">
        <f aca="false">AF9-AC9</f>
        <v>-1049.19</v>
      </c>
      <c r="AI9" s="74" t="n">
        <v>4650.81</v>
      </c>
      <c r="AJ9" s="75" t="n">
        <v>1000</v>
      </c>
      <c r="AK9" s="76" t="n">
        <f aca="false">AI9-AF9</f>
        <v>997.750000000001</v>
      </c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</row>
    <row r="10" customFormat="false" ht="22.5" hidden="false" customHeight="true" outlineLevel="0" collapsed="false">
      <c r="A10" s="79" t="s">
        <v>47</v>
      </c>
      <c r="B10" s="74" t="n">
        <v>12908.25</v>
      </c>
      <c r="C10" s="75" t="n">
        <v>0</v>
      </c>
      <c r="D10" s="76"/>
      <c r="E10" s="74" t="n">
        <v>15871.62</v>
      </c>
      <c r="F10" s="75" t="n">
        <v>2900</v>
      </c>
      <c r="G10" s="76" t="n">
        <f aca="false">E10-B10</f>
        <v>2963.37</v>
      </c>
      <c r="H10" s="74" t="n">
        <v>15906.51</v>
      </c>
      <c r="I10" s="75" t="n">
        <v>0</v>
      </c>
      <c r="J10" s="76" t="n">
        <f aca="false">H10-E10</f>
        <v>34.8899999999994</v>
      </c>
      <c r="K10" s="74" t="n">
        <v>15938.33</v>
      </c>
      <c r="L10" s="75" t="n">
        <v>0</v>
      </c>
      <c r="M10" s="76" t="n">
        <f aca="false">K10-H10</f>
        <v>31.8199999999997</v>
      </c>
      <c r="N10" s="74" t="n">
        <v>15968.78</v>
      </c>
      <c r="O10" s="75" t="n">
        <v>0</v>
      </c>
      <c r="P10" s="76" t="n">
        <f aca="false">N10-K10</f>
        <v>30.4500000000007</v>
      </c>
      <c r="Q10" s="74" t="n">
        <v>16924.18</v>
      </c>
      <c r="R10" s="75" t="n">
        <v>928</v>
      </c>
      <c r="S10" s="76" t="n">
        <f aca="false">Q10-N10</f>
        <v>955.4</v>
      </c>
      <c r="T10" s="74" t="n">
        <v>17953.42</v>
      </c>
      <c r="U10" s="75" t="n">
        <v>1000</v>
      </c>
      <c r="V10" s="77" t="n">
        <f aca="false">T10-Q10</f>
        <v>1029.24</v>
      </c>
      <c r="W10" s="74" t="n">
        <v>18484.05</v>
      </c>
      <c r="X10" s="77" t="n">
        <v>500</v>
      </c>
      <c r="Y10" s="76" t="n">
        <f aca="false">W10-T10</f>
        <v>530.630000000001</v>
      </c>
      <c r="Z10" s="74" t="n">
        <v>18514.44</v>
      </c>
      <c r="AA10" s="75" t="n">
        <v>0</v>
      </c>
      <c r="AB10" s="76" t="n">
        <f aca="false">Z10-W10</f>
        <v>30.3899999999994</v>
      </c>
      <c r="AC10" s="78" t="n">
        <v>18896.31</v>
      </c>
      <c r="AD10" s="75" t="n">
        <v>350</v>
      </c>
      <c r="AE10" s="77" t="n">
        <f aca="false">AC10-Z10</f>
        <v>381.870000000003</v>
      </c>
      <c r="AF10" s="74" t="n">
        <v>18927.37</v>
      </c>
      <c r="AG10" s="75" t="n">
        <v>0</v>
      </c>
      <c r="AH10" s="77" t="n">
        <f aca="false">AF10-AC10</f>
        <v>31.0599999999977</v>
      </c>
      <c r="AI10" s="74" t="n">
        <v>18959.52</v>
      </c>
      <c r="AJ10" s="75" t="n">
        <v>0</v>
      </c>
      <c r="AK10" s="76" t="n">
        <f aca="false">AI10-AF10</f>
        <v>32.1500000000015</v>
      </c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</row>
    <row r="11" customFormat="false" ht="22.5" hidden="false" customHeight="true" outlineLevel="0" collapsed="false">
      <c r="A11" s="80" t="s">
        <v>42</v>
      </c>
      <c r="B11" s="74" t="n">
        <v>1474.89</v>
      </c>
      <c r="C11" s="75" t="n">
        <v>50</v>
      </c>
      <c r="D11" s="76"/>
      <c r="E11" s="74" t="n">
        <v>1488.27</v>
      </c>
      <c r="F11" s="75" t="n">
        <v>50</v>
      </c>
      <c r="G11" s="76" t="n">
        <f aca="false">E11-B11</f>
        <v>13.3799999999999</v>
      </c>
      <c r="H11" s="74" t="n">
        <v>1444.68</v>
      </c>
      <c r="I11" s="75" t="n">
        <v>50</v>
      </c>
      <c r="J11" s="76" t="n">
        <f aca="false">H11-E11</f>
        <v>-43.5899999999999</v>
      </c>
      <c r="K11" s="74" t="n">
        <v>1435.32</v>
      </c>
      <c r="L11" s="75" t="n">
        <v>50</v>
      </c>
      <c r="M11" s="76" t="n">
        <f aca="false">K11-H11</f>
        <v>-9.36000000000013</v>
      </c>
      <c r="N11" s="74" t="n">
        <v>1567.67</v>
      </c>
      <c r="O11" s="75" t="n">
        <v>50</v>
      </c>
      <c r="P11" s="76" t="n">
        <f aca="false">N11-K11</f>
        <v>132.35</v>
      </c>
      <c r="Q11" s="74" t="n">
        <v>1621.57</v>
      </c>
      <c r="R11" s="75" t="n">
        <v>50</v>
      </c>
      <c r="S11" s="76" t="n">
        <f aca="false">Q11-N11</f>
        <v>53.8999999999999</v>
      </c>
      <c r="T11" s="74" t="n">
        <v>1636.96</v>
      </c>
      <c r="U11" s="75" t="n">
        <v>50</v>
      </c>
      <c r="V11" s="77" t="n">
        <f aca="false">T11-Q11</f>
        <v>15.3900000000001</v>
      </c>
      <c r="W11" s="74" t="n">
        <v>1784.22</v>
      </c>
      <c r="X11" s="77" t="n">
        <v>50</v>
      </c>
      <c r="Y11" s="76" t="n">
        <f aca="false">W11-T11</f>
        <v>147.26</v>
      </c>
      <c r="Z11" s="74" t="n">
        <v>1887.58</v>
      </c>
      <c r="AA11" s="75" t="n">
        <v>50</v>
      </c>
      <c r="AB11" s="76" t="n">
        <f aca="false">Z11-W11</f>
        <v>103.36</v>
      </c>
      <c r="AC11" s="78" t="n">
        <v>1986.73</v>
      </c>
      <c r="AD11" s="75" t="n">
        <v>50</v>
      </c>
      <c r="AE11" s="77" t="n">
        <f aca="false">AC11-Z11</f>
        <v>99.1500000000001</v>
      </c>
      <c r="AF11" s="74" t="n">
        <v>1972.3</v>
      </c>
      <c r="AG11" s="75" t="n">
        <v>0</v>
      </c>
      <c r="AH11" s="77" t="n">
        <f aca="false">AF11-AC11</f>
        <v>-14.4300000000001</v>
      </c>
      <c r="AI11" s="74" t="n">
        <v>1987.35</v>
      </c>
      <c r="AJ11" s="75" t="n">
        <v>0</v>
      </c>
      <c r="AK11" s="76" t="n">
        <f aca="false">AI11-AF11</f>
        <v>15.05</v>
      </c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</row>
    <row r="12" customFormat="false" ht="22.5" hidden="false" customHeight="true" outlineLevel="0" collapsed="false">
      <c r="A12" s="81" t="s">
        <v>41</v>
      </c>
      <c r="B12" s="74" t="n">
        <v>4545.7</v>
      </c>
      <c r="C12" s="75" t="n">
        <v>0</v>
      </c>
      <c r="D12" s="76"/>
      <c r="E12" s="74" t="n">
        <v>4604.63</v>
      </c>
      <c r="F12" s="75" t="n">
        <v>26</v>
      </c>
      <c r="G12" s="76" t="n">
        <f aca="false">E12-B12</f>
        <v>58.9300000000003</v>
      </c>
      <c r="H12" s="74" t="n">
        <v>4673.05</v>
      </c>
      <c r="I12" s="75" t="n">
        <v>42</v>
      </c>
      <c r="J12" s="76" t="n">
        <f aca="false">H12-E12</f>
        <v>68.4200000000001</v>
      </c>
      <c r="K12" s="74" t="n">
        <v>4769.92</v>
      </c>
      <c r="L12" s="75" t="n">
        <v>75</v>
      </c>
      <c r="M12" s="76" t="n">
        <f aca="false">K12-H12</f>
        <v>96.8699999999999</v>
      </c>
      <c r="N12" s="74" t="n">
        <v>4871.8</v>
      </c>
      <c r="O12" s="75" t="n">
        <v>78</v>
      </c>
      <c r="P12" s="76" t="n">
        <f aca="false">N12-K12</f>
        <v>101.88</v>
      </c>
      <c r="Q12" s="74" t="n">
        <v>5015.49</v>
      </c>
      <c r="R12" s="75" t="n">
        <v>120</v>
      </c>
      <c r="S12" s="76" t="n">
        <f aca="false">Q12-N12</f>
        <v>143.69</v>
      </c>
      <c r="T12" s="74" t="n">
        <v>5154.64</v>
      </c>
      <c r="U12" s="75" t="n">
        <v>114</v>
      </c>
      <c r="V12" s="77" t="n">
        <f aca="false">T12-Q12</f>
        <v>139.150000000001</v>
      </c>
      <c r="W12" s="74" t="n">
        <v>5345.6</v>
      </c>
      <c r="X12" s="77" t="n">
        <v>165</v>
      </c>
      <c r="Y12" s="76" t="n">
        <f aca="false">W12-T12</f>
        <v>190.96</v>
      </c>
      <c r="Z12" s="74" t="n">
        <v>5521.58</v>
      </c>
      <c r="AA12" s="75" t="n">
        <v>150</v>
      </c>
      <c r="AB12" s="76" t="n">
        <f aca="false">Z12-W12</f>
        <v>175.98</v>
      </c>
      <c r="AC12" s="78" t="n">
        <v>5715.41</v>
      </c>
      <c r="AD12" s="75" t="n">
        <v>166</v>
      </c>
      <c r="AE12" s="77" t="n">
        <f aca="false">AC12-Z12</f>
        <v>193.83</v>
      </c>
      <c r="AF12" s="74" t="n">
        <v>5973.39</v>
      </c>
      <c r="AG12" s="75" t="n">
        <v>230</v>
      </c>
      <c r="AH12" s="77" t="n">
        <f aca="false">AF12-AC12</f>
        <v>257.980000000001</v>
      </c>
      <c r="AI12" s="74" t="n">
        <v>6205.48</v>
      </c>
      <c r="AJ12" s="75" t="n">
        <v>202</v>
      </c>
      <c r="AK12" s="76" t="n">
        <f aca="false">AI12-AF12</f>
        <v>232.089999999999</v>
      </c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</row>
    <row r="13" customFormat="false" ht="22.5" hidden="false" customHeight="true" outlineLevel="0" collapsed="false">
      <c r="A13" s="82" t="s">
        <v>43</v>
      </c>
      <c r="B13" s="74" t="n">
        <v>1771.84</v>
      </c>
      <c r="C13" s="75" t="n">
        <v>50</v>
      </c>
      <c r="D13" s="76"/>
      <c r="E13" s="74" t="n">
        <v>1860.13</v>
      </c>
      <c r="F13" s="75" t="n">
        <v>50</v>
      </c>
      <c r="G13" s="76" t="n">
        <f aca="false">E13-B13</f>
        <v>88.2900000000002</v>
      </c>
      <c r="H13" s="74" t="n">
        <v>1811.27</v>
      </c>
      <c r="I13" s="75" t="n">
        <v>50</v>
      </c>
      <c r="J13" s="76" t="n">
        <f aca="false">H13-E13</f>
        <v>-48.8600000000001</v>
      </c>
      <c r="K13" s="74" t="n">
        <v>1731.36</v>
      </c>
      <c r="L13" s="75" t="n">
        <v>50</v>
      </c>
      <c r="M13" s="76" t="n">
        <f aca="false">K13-H13</f>
        <v>-79.9100000000001</v>
      </c>
      <c r="N13" s="74" t="n">
        <v>1887.82</v>
      </c>
      <c r="O13" s="75" t="n">
        <v>50</v>
      </c>
      <c r="P13" s="76" t="n">
        <f aca="false">N13-K13</f>
        <v>156.46</v>
      </c>
      <c r="Q13" s="74" t="n">
        <v>1917.53</v>
      </c>
      <c r="R13" s="75" t="n">
        <v>50</v>
      </c>
      <c r="S13" s="76" t="n">
        <f aca="false">Q13-N13</f>
        <v>29.71</v>
      </c>
      <c r="T13" s="74" t="n">
        <v>1999.76</v>
      </c>
      <c r="U13" s="75" t="n">
        <v>50</v>
      </c>
      <c r="V13" s="77" t="n">
        <f aca="false">T13-Q13</f>
        <v>82.23</v>
      </c>
      <c r="W13" s="74" t="n">
        <v>2063.12</v>
      </c>
      <c r="X13" s="77" t="n">
        <v>50</v>
      </c>
      <c r="Y13" s="76" t="n">
        <f aca="false">W13-T13</f>
        <v>63.3599999999999</v>
      </c>
      <c r="Z13" s="74" t="n">
        <v>2144.16</v>
      </c>
      <c r="AA13" s="75" t="n">
        <v>50</v>
      </c>
      <c r="AB13" s="76" t="n">
        <f aca="false">Z13-W13</f>
        <v>81.04</v>
      </c>
      <c r="AC13" s="78" t="n">
        <v>2263.67</v>
      </c>
      <c r="AD13" s="75" t="n">
        <v>50</v>
      </c>
      <c r="AE13" s="77" t="n">
        <f aca="false">AC13-Z13</f>
        <v>119.51</v>
      </c>
      <c r="AF13" s="74" t="n">
        <v>2313.1</v>
      </c>
      <c r="AG13" s="75" t="n">
        <v>50</v>
      </c>
      <c r="AH13" s="77" t="n">
        <f aca="false">AF13-AC13</f>
        <v>49.4299999999998</v>
      </c>
      <c r="AI13" s="74" t="n">
        <v>2381.68</v>
      </c>
      <c r="AJ13" s="75" t="n">
        <v>50</v>
      </c>
      <c r="AK13" s="76" t="n">
        <f aca="false">AI13-AF13</f>
        <v>68.5799999999999</v>
      </c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</row>
    <row r="14" customFormat="false" ht="22.5" hidden="false" customHeight="true" outlineLevel="0" collapsed="false">
      <c r="A14" s="83" t="s">
        <v>134</v>
      </c>
      <c r="B14" s="74" t="n">
        <v>2635.1</v>
      </c>
      <c r="C14" s="75" t="n">
        <v>0</v>
      </c>
      <c r="D14" s="76"/>
      <c r="E14" s="74" t="n">
        <v>2635.1</v>
      </c>
      <c r="F14" s="75" t="n">
        <v>0</v>
      </c>
      <c r="G14" s="76" t="n">
        <f aca="false">E14-B14</f>
        <v>0</v>
      </c>
      <c r="H14" s="74" t="n">
        <v>2654.08</v>
      </c>
      <c r="I14" s="75" t="n">
        <v>0</v>
      </c>
      <c r="J14" s="76" t="n">
        <f aca="false">H14-E14</f>
        <v>18.98</v>
      </c>
      <c r="K14" s="74" t="n">
        <v>2654.08</v>
      </c>
      <c r="L14" s="75" t="n">
        <v>0</v>
      </c>
      <c r="M14" s="76" t="n">
        <f aca="false">K14-H14</f>
        <v>0</v>
      </c>
      <c r="N14" s="74" t="n">
        <v>2654.08</v>
      </c>
      <c r="O14" s="75" t="n">
        <v>0</v>
      </c>
      <c r="P14" s="76" t="n">
        <f aca="false">N14-K14</f>
        <v>0</v>
      </c>
      <c r="Q14" s="74" t="n">
        <v>2654.08</v>
      </c>
      <c r="R14" s="75" t="n">
        <v>0</v>
      </c>
      <c r="S14" s="76" t="n">
        <f aca="false">Q14-N14</f>
        <v>0</v>
      </c>
      <c r="T14" s="74" t="n">
        <v>2673.18</v>
      </c>
      <c r="U14" s="75" t="n">
        <v>0</v>
      </c>
      <c r="V14" s="77" t="n">
        <f aca="false">T14-Q14</f>
        <v>19.0999999999999</v>
      </c>
      <c r="W14" s="74" t="n">
        <v>2673.18</v>
      </c>
      <c r="X14" s="77" t="n">
        <v>0</v>
      </c>
      <c r="Y14" s="76" t="n">
        <f aca="false">W14-T14</f>
        <v>0</v>
      </c>
      <c r="Z14" s="74" t="n">
        <v>2673.18</v>
      </c>
      <c r="AA14" s="75" t="n">
        <v>0</v>
      </c>
      <c r="AB14" s="76" t="n">
        <f aca="false">Z14-W14</f>
        <v>0</v>
      </c>
      <c r="AC14" s="78" t="n">
        <v>2690.35</v>
      </c>
      <c r="AD14" s="75" t="n">
        <v>0</v>
      </c>
      <c r="AE14" s="77" t="n">
        <f aca="false">AC14-Z14</f>
        <v>17.1700000000001</v>
      </c>
      <c r="AF14" s="74" t="n">
        <v>2690.35</v>
      </c>
      <c r="AG14" s="75" t="n">
        <v>0</v>
      </c>
      <c r="AH14" s="77" t="n">
        <f aca="false">AF14-AC14</f>
        <v>0</v>
      </c>
      <c r="AI14" s="74" t="n">
        <v>2690.35</v>
      </c>
      <c r="AJ14" s="75" t="n">
        <v>0</v>
      </c>
      <c r="AK14" s="76" t="n">
        <f aca="false">AI14-AF14</f>
        <v>0</v>
      </c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</row>
    <row r="15" customFormat="false" ht="22.5" hidden="false" customHeight="true" outlineLevel="0" collapsed="false">
      <c r="A15" s="84" t="s">
        <v>108</v>
      </c>
      <c r="B15" s="74" t="n">
        <v>6670</v>
      </c>
      <c r="C15" s="75"/>
      <c r="D15" s="76"/>
      <c r="E15" s="74" t="n">
        <v>4280</v>
      </c>
      <c r="F15" s="75" t="n">
        <v>0</v>
      </c>
      <c r="G15" s="76" t="n">
        <f aca="false">E15-B15</f>
        <v>-2390</v>
      </c>
      <c r="H15" s="74" t="n">
        <v>1700</v>
      </c>
      <c r="I15" s="75" t="n">
        <v>0</v>
      </c>
      <c r="J15" s="76" t="n">
        <f aca="false">H15-E15</f>
        <v>-2580</v>
      </c>
      <c r="K15" s="74" t="n">
        <v>310</v>
      </c>
      <c r="L15" s="75" t="n">
        <v>0</v>
      </c>
      <c r="M15" s="76" t="n">
        <f aca="false">K15-H15</f>
        <v>-1390</v>
      </c>
      <c r="N15" s="74" t="n">
        <v>0</v>
      </c>
      <c r="O15" s="75" t="n">
        <v>0</v>
      </c>
      <c r="P15" s="76" t="n">
        <f aca="false">N15-K15</f>
        <v>-310</v>
      </c>
      <c r="Q15" s="74" t="n">
        <v>0</v>
      </c>
      <c r="R15" s="75" t="n">
        <v>0</v>
      </c>
      <c r="S15" s="76" t="n">
        <f aca="false">Q15-N15</f>
        <v>0</v>
      </c>
      <c r="T15" s="74" t="n">
        <v>140</v>
      </c>
      <c r="U15" s="75" t="n">
        <v>0</v>
      </c>
      <c r="V15" s="77" t="n">
        <f aca="false">T15-Q15</f>
        <v>140</v>
      </c>
      <c r="W15" s="74" t="n">
        <v>665</v>
      </c>
      <c r="X15" s="77" t="n">
        <v>0</v>
      </c>
      <c r="Y15" s="76" t="n">
        <f aca="false">W15-T15</f>
        <v>525</v>
      </c>
      <c r="Z15" s="74" t="n">
        <v>1270</v>
      </c>
      <c r="AA15" s="75" t="n">
        <v>0</v>
      </c>
      <c r="AB15" s="76" t="n">
        <f aca="false">Z15-W15</f>
        <v>605</v>
      </c>
      <c r="AC15" s="78" t="n">
        <v>1600</v>
      </c>
      <c r="AD15" s="75"/>
      <c r="AE15" s="77" t="n">
        <f aca="false">AC15-Z15</f>
        <v>330</v>
      </c>
      <c r="AF15" s="74" t="n">
        <v>980</v>
      </c>
      <c r="AG15" s="75" t="n">
        <v>0</v>
      </c>
      <c r="AH15" s="77" t="n">
        <f aca="false">AF15-AC15</f>
        <v>-620</v>
      </c>
      <c r="AI15" s="74" t="n">
        <v>730</v>
      </c>
      <c r="AJ15" s="75" t="n">
        <v>0</v>
      </c>
      <c r="AK15" s="76" t="n">
        <f aca="false">AI15-AF15</f>
        <v>-250</v>
      </c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</row>
    <row r="16" customFormat="false" ht="22.5" hidden="false" customHeight="true" outlineLevel="0" collapsed="false">
      <c r="A16" s="85" t="s">
        <v>46</v>
      </c>
      <c r="B16" s="74"/>
      <c r="C16" s="75"/>
      <c r="D16" s="76"/>
      <c r="E16" s="74"/>
      <c r="F16" s="75"/>
      <c r="G16" s="76"/>
      <c r="H16" s="74" t="n">
        <v>46.37</v>
      </c>
      <c r="I16" s="75" t="n">
        <v>0</v>
      </c>
      <c r="J16" s="76" t="n">
        <f aca="false">H16-E16</f>
        <v>46.37</v>
      </c>
      <c r="K16" s="74" t="n">
        <v>49.3</v>
      </c>
      <c r="L16" s="75" t="n">
        <v>0</v>
      </c>
      <c r="M16" s="76" t="n">
        <f aca="false">K16-H16</f>
        <v>2.93</v>
      </c>
      <c r="N16" s="74" t="n">
        <v>69.39</v>
      </c>
      <c r="O16" s="75" t="n">
        <v>20</v>
      </c>
      <c r="P16" s="76" t="n">
        <f aca="false">N16-K16</f>
        <v>20.09</v>
      </c>
      <c r="Q16" s="74" t="n">
        <v>89.39</v>
      </c>
      <c r="R16" s="75" t="n">
        <v>20</v>
      </c>
      <c r="S16" s="76" t="n">
        <f aca="false">Q16-N16</f>
        <v>20</v>
      </c>
      <c r="T16" s="74" t="n">
        <v>109.65</v>
      </c>
      <c r="U16" s="75" t="n">
        <v>20</v>
      </c>
      <c r="V16" s="77" t="n">
        <f aca="false">T16-Q16</f>
        <v>20.26</v>
      </c>
      <c r="W16" s="74" t="n">
        <v>129.65</v>
      </c>
      <c r="X16" s="77" t="n">
        <v>20</v>
      </c>
      <c r="Y16" s="76" t="n">
        <f aca="false">W16-T16</f>
        <v>20</v>
      </c>
      <c r="Z16" s="74" t="n">
        <v>145.43</v>
      </c>
      <c r="AA16" s="75" t="n">
        <v>20</v>
      </c>
      <c r="AB16" s="76" t="n">
        <f aca="false">Z16-W16</f>
        <v>15.78</v>
      </c>
      <c r="AC16" s="78" t="n">
        <v>165.54</v>
      </c>
      <c r="AD16" s="75" t="n">
        <v>20</v>
      </c>
      <c r="AE16" s="77" t="n">
        <f aca="false">AC16-Z16</f>
        <v>20.11</v>
      </c>
      <c r="AF16" s="74" t="n">
        <v>185.82</v>
      </c>
      <c r="AG16" s="75" t="n">
        <v>20</v>
      </c>
      <c r="AH16" s="77" t="n">
        <f aca="false">AF16-AC16</f>
        <v>20.28</v>
      </c>
      <c r="AI16" s="74" t="n">
        <v>205.97</v>
      </c>
      <c r="AJ16" s="75" t="n">
        <v>20</v>
      </c>
      <c r="AK16" s="76" t="n">
        <f aca="false">AI16-AF16</f>
        <v>20.15</v>
      </c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</row>
    <row r="17" customFormat="false" ht="22.5" hidden="false" customHeight="true" outlineLevel="0" collapsed="false">
      <c r="A17" s="86" t="s">
        <v>48</v>
      </c>
      <c r="B17" s="74"/>
      <c r="C17" s="75"/>
      <c r="D17" s="76"/>
      <c r="E17" s="74"/>
      <c r="F17" s="75"/>
      <c r="G17" s="76" t="n">
        <f aca="false">E17-B17</f>
        <v>0</v>
      </c>
      <c r="H17" s="74"/>
      <c r="I17" s="75"/>
      <c r="J17" s="76" t="n">
        <f aca="false">H17-E17</f>
        <v>0</v>
      </c>
      <c r="K17" s="74"/>
      <c r="L17" s="75"/>
      <c r="M17" s="76" t="n">
        <f aca="false">K17-H17</f>
        <v>0</v>
      </c>
      <c r="N17" s="74"/>
      <c r="O17" s="75"/>
      <c r="P17" s="76" t="n">
        <f aca="false">N17-K17</f>
        <v>0</v>
      </c>
      <c r="Q17" s="74"/>
      <c r="R17" s="75"/>
      <c r="S17" s="76" t="n">
        <f aca="false">Q17-N17</f>
        <v>0</v>
      </c>
      <c r="T17" s="74"/>
      <c r="U17" s="75"/>
      <c r="V17" s="77" t="n">
        <f aca="false">T17-Q17</f>
        <v>0</v>
      </c>
      <c r="W17" s="74"/>
      <c r="X17" s="77"/>
      <c r="Y17" s="76" t="n">
        <f aca="false">W17-T17</f>
        <v>0</v>
      </c>
      <c r="Z17" s="74"/>
      <c r="AA17" s="75"/>
      <c r="AB17" s="76" t="n">
        <f aca="false">Z17-W17</f>
        <v>0</v>
      </c>
      <c r="AC17" s="78"/>
      <c r="AD17" s="75"/>
      <c r="AE17" s="77" t="n">
        <f aca="false">AC17-Z17</f>
        <v>0</v>
      </c>
      <c r="AF17" s="74" t="n">
        <v>50.23</v>
      </c>
      <c r="AG17" s="75" t="n">
        <v>50</v>
      </c>
      <c r="AH17" s="77" t="n">
        <f aca="false">AF17-AC17</f>
        <v>50.23</v>
      </c>
      <c r="AI17" s="74" t="n">
        <v>101.95</v>
      </c>
      <c r="AJ17" s="75" t="n">
        <v>50</v>
      </c>
      <c r="AK17" s="76" t="n">
        <f aca="false">AI17-AF17</f>
        <v>51.72</v>
      </c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</row>
    <row r="18" customFormat="false" ht="22.5" hidden="false" customHeight="true" outlineLevel="0" collapsed="false">
      <c r="A18" s="86" t="s">
        <v>45</v>
      </c>
      <c r="B18" s="74" t="n">
        <v>1174.35</v>
      </c>
      <c r="C18" s="75" t="n">
        <v>25</v>
      </c>
      <c r="D18" s="76"/>
      <c r="E18" s="74" t="n">
        <v>1204.56</v>
      </c>
      <c r="F18" s="75" t="n">
        <v>25</v>
      </c>
      <c r="G18" s="76" t="n">
        <f aca="false">E18-B18</f>
        <v>30.21</v>
      </c>
      <c r="H18" s="74" t="n">
        <v>1223.79</v>
      </c>
      <c r="I18" s="75" t="n">
        <v>25</v>
      </c>
      <c r="J18" s="76" t="n">
        <f aca="false">H18-E18</f>
        <v>19.23</v>
      </c>
      <c r="K18" s="74" t="n">
        <v>1256.53</v>
      </c>
      <c r="L18" s="75" t="n">
        <v>25</v>
      </c>
      <c r="M18" s="76" t="n">
        <f aca="false">K18-H18</f>
        <v>32.74</v>
      </c>
      <c r="N18" s="74" t="n">
        <v>1286.76</v>
      </c>
      <c r="O18" s="75" t="n">
        <v>25</v>
      </c>
      <c r="P18" s="76" t="n">
        <f aca="false">N18-K18</f>
        <v>30.23</v>
      </c>
      <c r="Q18" s="74" t="n">
        <v>1338.31</v>
      </c>
      <c r="R18" s="75" t="n">
        <v>50</v>
      </c>
      <c r="S18" s="76" t="n">
        <f aca="false">Q18-N18</f>
        <v>51.55</v>
      </c>
      <c r="T18" s="74" t="n">
        <v>1393.4</v>
      </c>
      <c r="U18" s="75" t="n">
        <v>50</v>
      </c>
      <c r="V18" s="77" t="n">
        <f aca="false">T18-Q18</f>
        <v>55.0900000000001</v>
      </c>
      <c r="W18" s="74" t="n">
        <v>1443.36</v>
      </c>
      <c r="X18" s="77" t="n">
        <v>50</v>
      </c>
      <c r="Y18" s="76" t="n">
        <f aca="false">W18-T18</f>
        <v>49.9599999999998</v>
      </c>
      <c r="Z18" s="74" t="n">
        <v>1497.43</v>
      </c>
      <c r="AA18" s="75" t="n">
        <v>50</v>
      </c>
      <c r="AB18" s="76" t="n">
        <f aca="false">Z18-W18</f>
        <v>54.0700000000002</v>
      </c>
      <c r="AC18" s="78" t="n">
        <v>1554.56</v>
      </c>
      <c r="AD18" s="75" t="n">
        <v>50</v>
      </c>
      <c r="AE18" s="77" t="n">
        <f aca="false">AC18-Z18</f>
        <v>57.1299999999999</v>
      </c>
      <c r="AF18" s="74" t="n">
        <v>1602.07</v>
      </c>
      <c r="AG18" s="75" t="n">
        <v>50</v>
      </c>
      <c r="AH18" s="77" t="n">
        <f aca="false">AF18-AC18</f>
        <v>47.51</v>
      </c>
      <c r="AI18" s="74" t="n">
        <v>1650.04</v>
      </c>
      <c r="AJ18" s="75" t="n">
        <v>50</v>
      </c>
      <c r="AK18" s="76" t="n">
        <f aca="false">AI18-AF18</f>
        <v>47.97</v>
      </c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</row>
    <row r="19" customFormat="false" ht="22.5" hidden="false" customHeight="true" outlineLevel="0" collapsed="false">
      <c r="A19" s="87" t="s">
        <v>109</v>
      </c>
      <c r="B19" s="88" t="n">
        <f aca="false">SUM(B9:B18)</f>
        <v>36193.63</v>
      </c>
      <c r="C19" s="88" t="n">
        <f aca="false">SUM(C9:C18)</f>
        <v>125</v>
      </c>
      <c r="D19" s="88" t="n">
        <f aca="false">SUM(D9:D18)</f>
        <v>0</v>
      </c>
      <c r="E19" s="88" t="n">
        <f aca="false">SUM(E9:E18)</f>
        <v>37010.06</v>
      </c>
      <c r="F19" s="88" t="n">
        <f aca="false">SUM(F9:F18)</f>
        <v>3051</v>
      </c>
      <c r="G19" s="88" t="n">
        <f aca="false">E19-B19</f>
        <v>816.43</v>
      </c>
      <c r="H19" s="88" t="n">
        <f aca="false">SUM(H9:H18)</f>
        <v>32335.5</v>
      </c>
      <c r="I19" s="88" t="n">
        <f aca="false">SUM(I9:I18)</f>
        <v>167</v>
      </c>
      <c r="J19" s="88" t="n">
        <f aca="false">H19-E19</f>
        <v>-4674.56</v>
      </c>
      <c r="K19" s="88" t="n">
        <f aca="false">SUM(K9:K18)</f>
        <v>32070.59</v>
      </c>
      <c r="L19" s="88" t="n">
        <f aca="false">SUM(L9:L18)</f>
        <v>2100</v>
      </c>
      <c r="M19" s="88" t="n">
        <f aca="false">K19-H19</f>
        <v>-264.91</v>
      </c>
      <c r="N19" s="88" t="n">
        <f aca="false">SUM(N9:N18)</f>
        <v>32684.3</v>
      </c>
      <c r="O19" s="88" t="n">
        <f aca="false">SUM(O9:O18)</f>
        <v>723</v>
      </c>
      <c r="P19" s="88" t="n">
        <f aca="false">N19-K19</f>
        <v>613.709999999999</v>
      </c>
      <c r="Q19" s="88" t="n">
        <f aca="false">SUM(Q9:Q18)</f>
        <v>34060.55</v>
      </c>
      <c r="R19" s="88" t="n">
        <f aca="false">SUM(R9:R18)</f>
        <v>1290</v>
      </c>
      <c r="S19" s="88" t="n">
        <f aca="false">Q19-N19</f>
        <v>1376.25</v>
      </c>
      <c r="T19" s="88" t="n">
        <f aca="false">SUM(T9:T18)</f>
        <v>35561.01</v>
      </c>
      <c r="U19" s="88" t="n">
        <f aca="false">SUM(U9:U18)</f>
        <v>1284</v>
      </c>
      <c r="V19" s="89" t="n">
        <f aca="false">T19-Q19</f>
        <v>1500.46</v>
      </c>
      <c r="W19" s="88" t="n">
        <f aca="false">SUM(W9:W18)</f>
        <v>37640.43</v>
      </c>
      <c r="X19" s="88" t="n">
        <f aca="false">SUM(X9:X18)</f>
        <v>1385</v>
      </c>
      <c r="Y19" s="90" t="n">
        <f aca="false">W19-T19</f>
        <v>2079.42</v>
      </c>
      <c r="Z19" s="88" t="n">
        <f aca="false">SUM(Z9:Z18)</f>
        <v>38706.05</v>
      </c>
      <c r="AA19" s="88" t="n">
        <f aca="false">SUM(AA9:AA18)</f>
        <v>320</v>
      </c>
      <c r="AB19" s="90" t="n">
        <f aca="false">Z19-W19</f>
        <v>1065.62</v>
      </c>
      <c r="AC19" s="88" t="n">
        <f aca="false">SUM(AC9:AC18)</f>
        <v>39574.82</v>
      </c>
      <c r="AD19" s="88" t="n">
        <f aca="false">SUM(AD9:AD18)</f>
        <v>1036</v>
      </c>
      <c r="AE19" s="88" t="n">
        <f aca="false">AC19-Z19</f>
        <v>868.770000000004</v>
      </c>
      <c r="AF19" s="88" t="n">
        <f aca="false">SUM(AF9:AF18)</f>
        <v>38347.69</v>
      </c>
      <c r="AG19" s="88" t="n">
        <f aca="false">SUM(AG9:AG18)</f>
        <v>400</v>
      </c>
      <c r="AH19" s="88" t="n">
        <f aca="false">AF19-AC19</f>
        <v>-1227.13</v>
      </c>
      <c r="AI19" s="88" t="n">
        <f aca="false">SUM(AI9:AI18)</f>
        <v>39563.15</v>
      </c>
      <c r="AJ19" s="88" t="n">
        <f aca="false">SUM(AJ9:AJ18)</f>
        <v>1372</v>
      </c>
      <c r="AK19" s="88" t="n">
        <f aca="false">AI19-AF19</f>
        <v>1215.46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</row>
    <row r="20" customFormat="false" ht="18" hidden="false" customHeight="true" outlineLevel="0" collapsed="false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</row>
    <row r="21" customFormat="false" ht="18" hidden="false" customHeight="true" outlineLevel="0" collapsed="false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</row>
    <row r="22" customFormat="false" ht="18" hidden="false" customHeight="true" outlineLevel="0" collapsed="false">
      <c r="A22" s="91" t="s">
        <v>13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</row>
    <row r="23" customFormat="false" ht="22.5" hidden="false" customHeight="true" outlineLevel="0" collapsed="false">
      <c r="A23" s="93" t="s">
        <v>110</v>
      </c>
      <c r="B23" s="56" t="s">
        <v>14</v>
      </c>
      <c r="C23" s="56" t="s">
        <v>15</v>
      </c>
      <c r="D23" s="56" t="s">
        <v>16</v>
      </c>
      <c r="E23" s="56" t="s">
        <v>17</v>
      </c>
      <c r="F23" s="56" t="s">
        <v>18</v>
      </c>
      <c r="G23" s="56" t="s">
        <v>19</v>
      </c>
      <c r="H23" s="56" t="s">
        <v>20</v>
      </c>
      <c r="I23" s="56" t="s">
        <v>21</v>
      </c>
      <c r="J23" s="56" t="s">
        <v>22</v>
      </c>
      <c r="K23" s="56" t="s">
        <v>23</v>
      </c>
      <c r="L23" s="56" t="s">
        <v>24</v>
      </c>
      <c r="M23" s="56" t="s">
        <v>25</v>
      </c>
      <c r="N23" s="94"/>
      <c r="O23" s="56"/>
      <c r="P23" s="56"/>
      <c r="Q23" s="94"/>
      <c r="R23" s="56"/>
      <c r="S23" s="56"/>
      <c r="T23" s="94"/>
      <c r="U23" s="56"/>
      <c r="V23" s="56"/>
      <c r="W23" s="94"/>
      <c r="X23" s="56"/>
      <c r="Y23" s="56"/>
      <c r="Z23" s="56"/>
      <c r="AA23" s="56"/>
      <c r="AB23" s="56"/>
      <c r="AC23" s="94"/>
      <c r="AD23" s="94"/>
      <c r="AE23" s="94"/>
      <c r="AF23" s="94"/>
      <c r="AG23" s="94"/>
      <c r="AH23" s="94"/>
      <c r="AI23" s="94"/>
      <c r="AJ23" s="94"/>
      <c r="AK23" s="94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</row>
    <row r="24" customFormat="false" ht="22.5" hidden="false" customHeight="true" outlineLevel="0" collapsed="false">
      <c r="A24" s="96" t="s">
        <v>135</v>
      </c>
      <c r="B24" s="97" t="n">
        <v>281.57</v>
      </c>
      <c r="C24" s="97" t="n">
        <v>233.41</v>
      </c>
      <c r="D24" s="97" t="n">
        <v>224.58</v>
      </c>
      <c r="E24" s="97" t="n">
        <v>244.47</v>
      </c>
      <c r="F24" s="97" t="n">
        <v>263.47</v>
      </c>
      <c r="G24" s="97" t="n">
        <v>258.64</v>
      </c>
      <c r="H24" s="97" t="n">
        <v>282.88</v>
      </c>
      <c r="I24" s="97"/>
      <c r="J24" s="97"/>
      <c r="K24" s="97"/>
      <c r="L24" s="97"/>
      <c r="M24" s="97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56"/>
      <c r="AF24" s="56"/>
      <c r="AG24" s="56"/>
      <c r="AH24" s="56"/>
      <c r="AI24" s="56"/>
      <c r="AJ24" s="56"/>
      <c r="AK24" s="56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</row>
    <row r="25" customFormat="false" ht="22.5" hidden="false" customHeight="true" outlineLevel="0" collapsed="false">
      <c r="A25" s="99" t="s">
        <v>136</v>
      </c>
      <c r="B25" s="100" t="n">
        <v>86.81</v>
      </c>
      <c r="C25" s="100" t="n">
        <v>58.25</v>
      </c>
      <c r="D25" s="100" t="n">
        <v>48.08</v>
      </c>
      <c r="E25" s="100" t="n">
        <v>45.25</v>
      </c>
      <c r="F25" s="100" t="n">
        <v>61.63</v>
      </c>
      <c r="G25" s="100" t="n">
        <v>57.57</v>
      </c>
      <c r="H25" s="100" t="n">
        <v>86.11</v>
      </c>
      <c r="I25" s="100"/>
      <c r="J25" s="100"/>
      <c r="K25" s="100"/>
      <c r="L25" s="100"/>
      <c r="M25" s="100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56"/>
      <c r="AF25" s="56"/>
      <c r="AG25" s="56"/>
      <c r="AH25" s="56"/>
      <c r="AI25" s="56"/>
      <c r="AJ25" s="56"/>
      <c r="AK25" s="56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</row>
    <row r="26" customFormat="false" ht="22.5" hidden="false" customHeight="true" outlineLevel="0" collapsed="false">
      <c r="A26" s="101" t="s">
        <v>109</v>
      </c>
      <c r="B26" s="102" t="n">
        <f aca="false">SUM(B24:B25)</f>
        <v>368.38</v>
      </c>
      <c r="C26" s="102" t="n">
        <f aca="false">SUM(C24:C25)</f>
        <v>291.66</v>
      </c>
      <c r="D26" s="102" t="n">
        <f aca="false">SUM(D24:D25)</f>
        <v>272.66</v>
      </c>
      <c r="E26" s="102" t="n">
        <f aca="false">SUM(E24:E25)</f>
        <v>289.72</v>
      </c>
      <c r="F26" s="102" t="n">
        <f aca="false">SUM(F24:F25)</f>
        <v>325.1</v>
      </c>
      <c r="G26" s="102" t="n">
        <f aca="false">SUM(G24:G25)</f>
        <v>316.21</v>
      </c>
      <c r="H26" s="102" t="n">
        <f aca="false">SUM(H24:H25)</f>
        <v>368.99</v>
      </c>
      <c r="I26" s="102"/>
      <c r="J26" s="102"/>
      <c r="K26" s="102"/>
      <c r="L26" s="102"/>
      <c r="M26" s="102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56"/>
      <c r="AF26" s="56"/>
      <c r="AG26" s="56"/>
      <c r="AH26" s="56"/>
      <c r="AI26" s="56"/>
      <c r="AJ26" s="56"/>
      <c r="AK26" s="56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</row>
    <row r="27" customFormat="false" ht="15.75" hidden="false" customHeight="true" outlineLevel="0" collapsed="false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</row>
    <row r="28" customFormat="false" ht="15.75" hidden="false" customHeight="true" outlineLevel="0" collapsed="false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</row>
    <row r="29" customFormat="false" ht="15.75" hidden="false" customHeight="true" outlineLevel="0" collapsed="false">
      <c r="A29" s="5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</row>
    <row r="30" customFormat="false" ht="15.75" hidden="false" customHeight="true" outlineLevel="0" collapsed="false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</row>
    <row r="31" customFormat="false" ht="15.75" hidden="false" customHeight="true" outlineLevel="0" collapsed="false">
      <c r="A31" s="55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</row>
    <row r="32" customFormat="false" ht="15.75" hidden="false" customHeight="true" outlineLevel="0" collapsed="false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</row>
    <row r="33" customFormat="false" ht="15.75" hidden="false" customHeight="true" outlineLevel="0" collapsed="false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</row>
    <row r="34" customFormat="false" ht="15.75" hidden="false" customHeight="true" outlineLevel="0" collapsed="false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</row>
    <row r="35" customFormat="false" ht="15.75" hidden="false" customHeight="true" outlineLevel="0" collapsed="false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</row>
    <row r="36" customFormat="false" ht="15.75" hidden="false" customHeight="true" outlineLevel="0" collapsed="false">
      <c r="A36" s="55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</row>
    <row r="37" customFormat="false" ht="15.75" hidden="false" customHeight="true" outlineLevel="0" collapsed="false">
      <c r="A37" s="55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</row>
    <row r="38" customFormat="false" ht="15.75" hidden="false" customHeight="true" outlineLevel="0" collapsed="false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</row>
    <row r="39" customFormat="false" ht="15.75" hidden="false" customHeight="true" outlineLevel="0" collapsed="false">
      <c r="A39" s="55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</row>
    <row r="40" customFormat="false" ht="15.75" hidden="false" customHeight="true" outlineLevel="0" collapsed="false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</row>
    <row r="41" customFormat="false" ht="15.75" hidden="false" customHeight="true" outlineLevel="0" collapsed="false">
      <c r="A41" s="55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</row>
    <row r="42" customFormat="false" ht="15.75" hidden="false" customHeight="true" outlineLevel="0" collapsed="false">
      <c r="A42" s="55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</row>
    <row r="43" customFormat="false" ht="15.75" hidden="false" customHeight="true" outlineLevel="0" collapsed="false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</row>
    <row r="44" customFormat="false" ht="15.75" hidden="false" customHeight="true" outlineLevel="0" collapsed="false">
      <c r="A44" s="55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</row>
    <row r="45" customFormat="false" ht="15.75" hidden="false" customHeight="true" outlineLevel="0" collapsed="false">
      <c r="A45" s="55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</row>
    <row r="46" customFormat="false" ht="15.75" hidden="false" customHeight="true" outlineLevel="0" collapsed="false">
      <c r="A46" s="55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</row>
    <row r="47" customFormat="false" ht="15.75" hidden="false" customHeight="true" outlineLevel="0" collapsed="false">
      <c r="A47" s="55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</row>
    <row r="48" customFormat="false" ht="15.75" hidden="false" customHeight="true" outlineLevel="0" collapsed="false">
      <c r="A48" s="5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</row>
    <row r="49" customFormat="false" ht="15.75" hidden="false" customHeight="true" outlineLevel="0" collapsed="false">
      <c r="A49" s="55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</row>
    <row r="50" customFormat="false" ht="15.75" hidden="false" customHeight="true" outlineLevel="0" collapsed="false">
      <c r="A50" s="55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</row>
    <row r="51" customFormat="false" ht="15.75" hidden="false" customHeight="true" outlineLevel="0" collapsed="false">
      <c r="A51" s="55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</row>
    <row r="52" customFormat="false" ht="15.75" hidden="false" customHeight="true" outlineLevel="0" collapsed="false">
      <c r="A52" s="55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</row>
    <row r="53" customFormat="false" ht="15.75" hidden="false" customHeight="true" outlineLevel="0" collapsed="false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</row>
    <row r="54" customFormat="false" ht="15.75" hidden="false" customHeight="true" outlineLevel="0" collapsed="false">
      <c r="A54" s="55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</row>
    <row r="55" customFormat="false" ht="15.75" hidden="false" customHeight="true" outlineLevel="0" collapsed="false">
      <c r="A55" s="55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</row>
    <row r="56" customFormat="false" ht="15.75" hidden="false" customHeight="true" outlineLevel="0" collapsed="false">
      <c r="A56" s="55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</row>
    <row r="57" customFormat="false" ht="15.75" hidden="false" customHeight="true" outlineLevel="0" collapsed="false">
      <c r="A57" s="55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</row>
    <row r="58" customFormat="false" ht="15.75" hidden="false" customHeight="true" outlineLevel="0" collapsed="false">
      <c r="A58" s="55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</row>
    <row r="59" customFormat="false" ht="15.75" hidden="false" customHeight="true" outlineLevel="0" collapsed="false">
      <c r="A59" s="55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</row>
    <row r="60" customFormat="false" ht="15.75" hidden="false" customHeight="true" outlineLevel="0" collapsed="false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</row>
    <row r="61" customFormat="false" ht="15.75" hidden="false" customHeight="true" outlineLevel="0" collapsed="false">
      <c r="A61" s="55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</row>
    <row r="62" customFormat="false" ht="15.75" hidden="false" customHeight="true" outlineLevel="0" collapsed="false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</row>
    <row r="63" customFormat="false" ht="15.75" hidden="false" customHeight="true" outlineLevel="0" collapsed="false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</row>
    <row r="64" customFormat="false" ht="15.75" hidden="false" customHeight="true" outlineLevel="0" collapsed="false">
      <c r="A64" s="55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</row>
    <row r="65" customFormat="false" ht="15.75" hidden="false" customHeight="true" outlineLevel="0" collapsed="false">
      <c r="A65" s="55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</row>
    <row r="66" customFormat="false" ht="15.75" hidden="false" customHeight="true" outlineLevel="0" collapsed="false">
      <c r="A66" s="55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</row>
    <row r="67" customFormat="false" ht="15.75" hidden="false" customHeight="true" outlineLevel="0" collapsed="false">
      <c r="A67" s="55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</row>
    <row r="68" customFormat="false" ht="15.75" hidden="false" customHeight="true" outlineLevel="0" collapsed="false">
      <c r="A68" s="55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</row>
    <row r="69" customFormat="false" ht="15.75" hidden="false" customHeight="true" outlineLevel="0" collapsed="false">
      <c r="A69" s="55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</row>
    <row r="70" customFormat="false" ht="15.75" hidden="false" customHeight="true" outlineLevel="0" collapsed="false">
      <c r="A70" s="55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</row>
    <row r="71" customFormat="false" ht="15.75" hidden="false" customHeight="true" outlineLevel="0" collapsed="false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</row>
    <row r="72" customFormat="false" ht="15.75" hidden="false" customHeight="true" outlineLevel="0" collapsed="false">
      <c r="A72" s="55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</row>
    <row r="73" customFormat="false" ht="15.75" hidden="false" customHeight="true" outlineLevel="0" collapsed="false">
      <c r="A73" s="55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</row>
    <row r="74" customFormat="false" ht="15.75" hidden="false" customHeight="true" outlineLevel="0" collapsed="false">
      <c r="A74" s="55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</row>
    <row r="75" customFormat="false" ht="15.75" hidden="false" customHeight="true" outlineLevel="0" collapsed="false">
      <c r="A75" s="55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</row>
    <row r="76" customFormat="false" ht="15.75" hidden="false" customHeight="true" outlineLevel="0" collapsed="false">
      <c r="A76" s="55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</row>
    <row r="77" customFormat="false" ht="15.75" hidden="false" customHeight="true" outlineLevel="0" collapsed="false">
      <c r="A77" s="5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</row>
    <row r="78" customFormat="false" ht="15.75" hidden="false" customHeight="true" outlineLevel="0" collapsed="false">
      <c r="A78" s="5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</row>
    <row r="79" customFormat="false" ht="15.75" hidden="false" customHeight="true" outlineLevel="0" collapsed="false">
      <c r="A79" s="5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</row>
    <row r="80" customFormat="false" ht="15.75" hidden="false" customHeight="true" outlineLevel="0" collapsed="false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</row>
    <row r="81" customFormat="false" ht="15.75" hidden="false" customHeight="true" outlineLevel="0" collapsed="false">
      <c r="A81" s="5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</row>
    <row r="82" customFormat="false" ht="15.75" hidden="false" customHeight="true" outlineLevel="0" collapsed="false">
      <c r="A82" s="55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</row>
    <row r="83" customFormat="false" ht="15.75" hidden="false" customHeight="true" outlineLevel="0" collapsed="false">
      <c r="A83" s="5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</row>
    <row r="84" customFormat="false" ht="15.75" hidden="false" customHeight="true" outlineLevel="0" collapsed="false">
      <c r="A84" s="5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</row>
    <row r="85" customFormat="false" ht="15.75" hidden="false" customHeight="true" outlineLevel="0" collapsed="false">
      <c r="A85" s="55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</row>
    <row r="86" customFormat="false" ht="15.75" hidden="false" customHeight="true" outlineLevel="0" collapsed="false">
      <c r="A86" s="55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</row>
    <row r="87" customFormat="false" ht="15.75" hidden="false" customHeight="true" outlineLevel="0" collapsed="false">
      <c r="A87" s="5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</row>
    <row r="88" customFormat="false" ht="15.75" hidden="false" customHeight="true" outlineLevel="0" collapsed="false">
      <c r="A88" s="55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</row>
    <row r="89" customFormat="false" ht="15.75" hidden="false" customHeight="true" outlineLevel="0" collapsed="false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</row>
    <row r="90" customFormat="false" ht="15.75" hidden="false" customHeight="true" outlineLevel="0" collapsed="false">
      <c r="A90" s="55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</row>
    <row r="91" customFormat="false" ht="15.75" hidden="false" customHeight="true" outlineLevel="0" collapsed="false">
      <c r="A91" s="55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</row>
    <row r="92" customFormat="false" ht="15.75" hidden="false" customHeight="true" outlineLevel="0" collapsed="false">
      <c r="A92" s="55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</row>
    <row r="93" customFormat="false" ht="15.75" hidden="false" customHeight="true" outlineLevel="0" collapsed="false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</row>
    <row r="94" customFormat="false" ht="15.75" hidden="false" customHeight="true" outlineLevel="0" collapsed="false">
      <c r="A94" s="55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</row>
    <row r="95" customFormat="false" ht="15.75" hidden="false" customHeight="true" outlineLevel="0" collapsed="false">
      <c r="A95" s="55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</row>
    <row r="96" customFormat="false" ht="15.75" hidden="false" customHeight="true" outlineLevel="0" collapsed="false">
      <c r="A96" s="55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</row>
    <row r="97" customFormat="false" ht="15.75" hidden="false" customHeight="true" outlineLevel="0" collapsed="false">
      <c r="A97" s="55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</row>
    <row r="98" customFormat="false" ht="15.75" hidden="false" customHeight="true" outlineLevel="0" collapsed="false">
      <c r="A98" s="55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</row>
    <row r="99" customFormat="false" ht="15.75" hidden="false" customHeight="true" outlineLevel="0" collapsed="false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</row>
    <row r="100" customFormat="false" ht="15.75" hidden="false" customHeight="true" outlineLevel="0" collapsed="false">
      <c r="A100" s="55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</row>
    <row r="101" customFormat="false" ht="15.75" hidden="false" customHeight="true" outlineLevel="0" collapsed="false">
      <c r="A101" s="55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</row>
    <row r="102" customFormat="false" ht="15.75" hidden="false" customHeight="true" outlineLevel="0" collapsed="false">
      <c r="A102" s="55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</row>
    <row r="103" customFormat="false" ht="15.75" hidden="false" customHeight="true" outlineLevel="0" collapsed="false">
      <c r="A103" s="55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</row>
    <row r="104" customFormat="false" ht="15.75" hidden="false" customHeight="true" outlineLevel="0" collapsed="false">
      <c r="A104" s="55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</row>
    <row r="105" customFormat="false" ht="15.75" hidden="false" customHeight="true" outlineLevel="0" collapsed="false">
      <c r="A105" s="55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</row>
    <row r="106" customFormat="false" ht="15.75" hidden="false" customHeight="true" outlineLevel="0" collapsed="false">
      <c r="A106" s="55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</row>
    <row r="107" customFormat="false" ht="15.75" hidden="false" customHeight="true" outlineLevel="0" collapsed="false">
      <c r="A107" s="55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</row>
    <row r="108" customFormat="false" ht="15.75" hidden="false" customHeight="true" outlineLevel="0" collapsed="false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</row>
    <row r="109" customFormat="false" ht="15.75" hidden="false" customHeight="true" outlineLevel="0" collapsed="false">
      <c r="A109" s="55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</row>
    <row r="110" customFormat="false" ht="15.75" hidden="false" customHeight="true" outlineLevel="0" collapsed="false">
      <c r="A110" s="55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</row>
    <row r="111" customFormat="false" ht="15.75" hidden="false" customHeight="true" outlineLevel="0" collapsed="false">
      <c r="A111" s="55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</row>
    <row r="112" customFormat="false" ht="15.75" hidden="false" customHeight="true" outlineLevel="0" collapsed="false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</row>
    <row r="113" customFormat="false" ht="15.75" hidden="false" customHeight="true" outlineLevel="0" collapsed="false">
      <c r="A113" s="55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</row>
    <row r="114" customFormat="false" ht="15.75" hidden="false" customHeight="true" outlineLevel="0" collapsed="false">
      <c r="A114" s="55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</row>
    <row r="115" customFormat="false" ht="15.75" hidden="false" customHeight="true" outlineLevel="0" collapsed="false">
      <c r="A115" s="55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</row>
    <row r="116" customFormat="false" ht="15.75" hidden="false" customHeight="true" outlineLevel="0" collapsed="false">
      <c r="A116" s="55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</row>
    <row r="117" customFormat="false" ht="15.75" hidden="false" customHeight="true" outlineLevel="0" collapsed="false">
      <c r="A117" s="55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</row>
    <row r="118" customFormat="false" ht="15.75" hidden="false" customHeight="true" outlineLevel="0" collapsed="false">
      <c r="A118" s="55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</row>
    <row r="119" customFormat="false" ht="15.75" hidden="false" customHeight="true" outlineLevel="0" collapsed="false">
      <c r="A119" s="55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</row>
    <row r="120" customFormat="false" ht="15.75" hidden="false" customHeight="true" outlineLevel="0" collapsed="false">
      <c r="A120" s="55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</row>
    <row r="121" customFormat="false" ht="15.75" hidden="false" customHeight="true" outlineLevel="0" collapsed="false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</row>
    <row r="122" customFormat="false" ht="15.75" hidden="false" customHeight="true" outlineLevel="0" collapsed="false">
      <c r="A122" s="55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</row>
    <row r="123" customFormat="false" ht="15.75" hidden="false" customHeight="true" outlineLevel="0" collapsed="false">
      <c r="A123" s="55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</row>
    <row r="124" customFormat="false" ht="15.75" hidden="false" customHeight="true" outlineLevel="0" collapsed="false">
      <c r="A124" s="55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</row>
    <row r="125" customFormat="false" ht="15.75" hidden="false" customHeight="true" outlineLevel="0" collapsed="false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</row>
    <row r="126" customFormat="false" ht="15.75" hidden="false" customHeight="true" outlineLevel="0" collapsed="false">
      <c r="A126" s="55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</row>
    <row r="127" customFormat="false" ht="15.75" hidden="false" customHeight="true" outlineLevel="0" collapsed="false">
      <c r="A127" s="55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</row>
    <row r="128" customFormat="false" ht="15.75" hidden="false" customHeight="true" outlineLevel="0" collapsed="false">
      <c r="A128" s="55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</row>
    <row r="129" customFormat="false" ht="15.75" hidden="false" customHeight="true" outlineLevel="0" collapsed="false">
      <c r="A129" s="55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</row>
    <row r="130" customFormat="false" ht="15.75" hidden="false" customHeight="true" outlineLevel="0" collapsed="false">
      <c r="A130" s="55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</row>
    <row r="131" customFormat="false" ht="15.75" hidden="false" customHeight="true" outlineLevel="0" collapsed="false">
      <c r="A131" s="55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</row>
    <row r="132" customFormat="false" ht="15.75" hidden="false" customHeight="true" outlineLevel="0" collapsed="false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</row>
    <row r="133" customFormat="false" ht="15.75" hidden="false" customHeight="true" outlineLevel="0" collapsed="false">
      <c r="A133" s="55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</row>
    <row r="134" customFormat="false" ht="15.75" hidden="false" customHeight="true" outlineLevel="0" collapsed="false">
      <c r="A134" s="55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</row>
    <row r="135" customFormat="false" ht="15.75" hidden="false" customHeight="true" outlineLevel="0" collapsed="false">
      <c r="A135" s="55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</row>
    <row r="136" customFormat="false" ht="15.75" hidden="false" customHeight="true" outlineLevel="0" collapsed="false">
      <c r="A136" s="55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</row>
    <row r="137" customFormat="false" ht="15.75" hidden="false" customHeight="true" outlineLevel="0" collapsed="false">
      <c r="A137" s="55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</row>
    <row r="138" customFormat="false" ht="15.75" hidden="false" customHeight="true" outlineLevel="0" collapsed="false">
      <c r="A138" s="55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</row>
    <row r="139" customFormat="false" ht="15.75" hidden="false" customHeight="true" outlineLevel="0" collapsed="false">
      <c r="A139" s="55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</row>
    <row r="140" customFormat="false" ht="15.75" hidden="false" customHeight="true" outlineLevel="0" collapsed="false">
      <c r="A140" s="55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</row>
    <row r="141" customFormat="false" ht="15.75" hidden="false" customHeight="true" outlineLevel="0" collapsed="false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</row>
    <row r="142" customFormat="false" ht="15.75" hidden="false" customHeight="true" outlineLevel="0" collapsed="false">
      <c r="A142" s="55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</row>
    <row r="143" customFormat="false" ht="15.75" hidden="false" customHeight="true" outlineLevel="0" collapsed="false">
      <c r="A143" s="55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</row>
    <row r="144" customFormat="false" ht="15.75" hidden="false" customHeight="true" outlineLevel="0" collapsed="false">
      <c r="A144" s="55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</row>
    <row r="145" customFormat="false" ht="15.75" hidden="false" customHeight="true" outlineLevel="0" collapsed="false">
      <c r="A145" s="55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</row>
    <row r="146" customFormat="false" ht="15.75" hidden="false" customHeight="true" outlineLevel="0" collapsed="false">
      <c r="A146" s="55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</row>
    <row r="147" customFormat="false" ht="15.75" hidden="false" customHeight="true" outlineLevel="0" collapsed="false">
      <c r="A147" s="55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</row>
    <row r="148" customFormat="false" ht="15.75" hidden="false" customHeight="true" outlineLevel="0" collapsed="false">
      <c r="A148" s="55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</row>
    <row r="149" customFormat="false" ht="15.75" hidden="false" customHeight="true" outlineLevel="0" collapsed="false">
      <c r="A149" s="55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</row>
    <row r="150" customFormat="false" ht="15.75" hidden="false" customHeight="true" outlineLevel="0" collapsed="false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</row>
    <row r="151" customFormat="false" ht="15.75" hidden="false" customHeight="true" outlineLevel="0" collapsed="false">
      <c r="A151" s="55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</row>
    <row r="152" customFormat="false" ht="15.75" hidden="false" customHeight="true" outlineLevel="0" collapsed="false">
      <c r="A152" s="55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</row>
    <row r="153" customFormat="false" ht="15.75" hidden="false" customHeight="true" outlineLevel="0" collapsed="false">
      <c r="A153" s="55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</row>
    <row r="154" customFormat="false" ht="15.75" hidden="false" customHeight="true" outlineLevel="0" collapsed="false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</row>
    <row r="155" customFormat="false" ht="15.75" hidden="false" customHeight="true" outlineLevel="0" collapsed="false">
      <c r="A155" s="55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</row>
    <row r="156" customFormat="false" ht="15.75" hidden="false" customHeight="true" outlineLevel="0" collapsed="false">
      <c r="A156" s="55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</row>
    <row r="157" customFormat="false" ht="15.75" hidden="false" customHeight="true" outlineLevel="0" collapsed="false">
      <c r="A157" s="55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</row>
    <row r="158" customFormat="false" ht="15.75" hidden="false" customHeight="true" outlineLevel="0" collapsed="false">
      <c r="A158" s="55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</row>
    <row r="159" customFormat="false" ht="15.75" hidden="false" customHeight="true" outlineLevel="0" collapsed="false">
      <c r="A159" s="55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</row>
    <row r="160" customFormat="false" ht="15.75" hidden="false" customHeight="true" outlineLevel="0" collapsed="false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</row>
    <row r="161" customFormat="false" ht="15.75" hidden="false" customHeight="true" outlineLevel="0" collapsed="false">
      <c r="A161" s="55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</row>
    <row r="162" customFormat="false" ht="15.75" hidden="false" customHeight="true" outlineLevel="0" collapsed="false">
      <c r="A162" s="55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</row>
    <row r="163" customFormat="false" ht="15.75" hidden="false" customHeight="true" outlineLevel="0" collapsed="false">
      <c r="A163" s="55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</row>
    <row r="164" customFormat="false" ht="15.75" hidden="false" customHeight="true" outlineLevel="0" collapsed="false">
      <c r="A164" s="55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</row>
    <row r="165" customFormat="false" ht="15.75" hidden="false" customHeight="true" outlineLevel="0" collapsed="false">
      <c r="A165" s="55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</row>
    <row r="166" customFormat="false" ht="15.75" hidden="false" customHeight="true" outlineLevel="0" collapsed="false">
      <c r="A166" s="55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</row>
    <row r="167" customFormat="false" ht="15.75" hidden="false" customHeight="true" outlineLevel="0" collapsed="false">
      <c r="A167" s="55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</row>
    <row r="168" customFormat="false" ht="15.75" hidden="false" customHeight="true" outlineLevel="0" collapsed="false">
      <c r="A168" s="55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</row>
    <row r="169" customFormat="false" ht="15.75" hidden="false" customHeight="true" outlineLevel="0" collapsed="false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</row>
    <row r="170" customFormat="false" ht="15.75" hidden="false" customHeight="true" outlineLevel="0" collapsed="false">
      <c r="A170" s="55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</row>
    <row r="171" customFormat="false" ht="15.75" hidden="false" customHeight="true" outlineLevel="0" collapsed="false">
      <c r="A171" s="55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</row>
    <row r="172" customFormat="false" ht="15.75" hidden="false" customHeight="true" outlineLevel="0" collapsed="false">
      <c r="A172" s="55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</row>
    <row r="173" customFormat="false" ht="15.75" hidden="false" customHeight="true" outlineLevel="0" collapsed="false">
      <c r="A173" s="55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</row>
    <row r="174" customFormat="false" ht="15.75" hidden="false" customHeight="true" outlineLevel="0" collapsed="false">
      <c r="A174" s="55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</row>
    <row r="175" customFormat="false" ht="15.75" hidden="false" customHeight="true" outlineLevel="0" collapsed="false">
      <c r="A175" s="55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</row>
    <row r="176" customFormat="false" ht="15.75" hidden="false" customHeight="true" outlineLevel="0" collapsed="false">
      <c r="A176" s="55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</row>
    <row r="177" customFormat="false" ht="15.75" hidden="false" customHeight="true" outlineLevel="0" collapsed="false">
      <c r="A177" s="55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</row>
    <row r="178" customFormat="false" ht="15.75" hidden="false" customHeight="true" outlineLevel="0" collapsed="false">
      <c r="A178" s="55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</row>
    <row r="179" customFormat="false" ht="15.75" hidden="false" customHeight="true" outlineLevel="0" collapsed="false">
      <c r="A179" s="55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</row>
    <row r="180" customFormat="false" ht="15.75" hidden="false" customHeight="true" outlineLevel="0" collapsed="false">
      <c r="A180" s="55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</row>
    <row r="181" customFormat="false" ht="15.75" hidden="false" customHeight="true" outlineLevel="0" collapsed="false">
      <c r="A181" s="55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</row>
    <row r="182" customFormat="false" ht="15.75" hidden="false" customHeight="true" outlineLevel="0" collapsed="false">
      <c r="A182" s="55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</row>
    <row r="183" customFormat="false" ht="15.75" hidden="false" customHeight="true" outlineLevel="0" collapsed="false">
      <c r="A183" s="55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</row>
    <row r="184" customFormat="false" ht="15.75" hidden="false" customHeight="true" outlineLevel="0" collapsed="false">
      <c r="A184" s="55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</row>
    <row r="185" customFormat="false" ht="15.75" hidden="false" customHeight="true" outlineLevel="0" collapsed="false">
      <c r="A185" s="55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</row>
    <row r="186" customFormat="false" ht="15.75" hidden="false" customHeight="true" outlineLevel="0" collapsed="false">
      <c r="A186" s="55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</row>
    <row r="187" customFormat="false" ht="15.75" hidden="false" customHeight="true" outlineLevel="0" collapsed="false">
      <c r="A187" s="55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</row>
    <row r="188" customFormat="false" ht="15.75" hidden="false" customHeight="true" outlineLevel="0" collapsed="false">
      <c r="A188" s="55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</row>
    <row r="189" customFormat="false" ht="15.75" hidden="false" customHeight="true" outlineLevel="0" collapsed="false">
      <c r="A189" s="55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</row>
    <row r="190" customFormat="false" ht="15.75" hidden="false" customHeight="true" outlineLevel="0" collapsed="false">
      <c r="A190" s="55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</row>
    <row r="191" customFormat="false" ht="15.75" hidden="false" customHeight="true" outlineLevel="0" collapsed="false">
      <c r="A191" s="55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</row>
    <row r="192" customFormat="false" ht="15.75" hidden="false" customHeight="true" outlineLevel="0" collapsed="false">
      <c r="A192" s="55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</row>
    <row r="193" customFormat="false" ht="15.75" hidden="false" customHeight="true" outlineLevel="0" collapsed="false">
      <c r="A193" s="55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</row>
    <row r="194" customFormat="false" ht="15.75" hidden="false" customHeight="true" outlineLevel="0" collapsed="false">
      <c r="A194" s="55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</row>
    <row r="195" customFormat="false" ht="15.75" hidden="false" customHeight="true" outlineLevel="0" collapsed="false">
      <c r="A195" s="55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</row>
    <row r="196" customFormat="false" ht="15.75" hidden="false" customHeight="true" outlineLevel="0" collapsed="false">
      <c r="A196" s="55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</row>
    <row r="197" customFormat="false" ht="15.75" hidden="false" customHeight="true" outlineLevel="0" collapsed="false">
      <c r="A197" s="55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</row>
    <row r="198" customFormat="false" ht="15.75" hidden="false" customHeight="true" outlineLevel="0" collapsed="false">
      <c r="A198" s="55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</row>
    <row r="199" customFormat="false" ht="15.75" hidden="false" customHeight="true" outlineLevel="0" collapsed="false">
      <c r="A199" s="55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</row>
    <row r="200" customFormat="false" ht="15.75" hidden="false" customHeight="true" outlineLevel="0" collapsed="false">
      <c r="A200" s="55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</row>
    <row r="201" customFormat="false" ht="15.75" hidden="false" customHeight="true" outlineLevel="0" collapsed="false">
      <c r="A201" s="55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</row>
    <row r="202" customFormat="false" ht="15.75" hidden="false" customHeight="true" outlineLevel="0" collapsed="false">
      <c r="A202" s="55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</row>
    <row r="203" customFormat="false" ht="15.75" hidden="false" customHeight="true" outlineLevel="0" collapsed="false">
      <c r="A203" s="55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</row>
    <row r="204" customFormat="false" ht="15.75" hidden="false" customHeight="true" outlineLevel="0" collapsed="false">
      <c r="A204" s="55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</row>
    <row r="205" customFormat="false" ht="15.75" hidden="false" customHeight="true" outlineLevel="0" collapsed="false">
      <c r="A205" s="55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</row>
    <row r="206" customFormat="false" ht="15.75" hidden="false" customHeight="true" outlineLevel="0" collapsed="false">
      <c r="A206" s="55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</row>
    <row r="207" customFormat="false" ht="15.75" hidden="false" customHeight="true" outlineLevel="0" collapsed="false">
      <c r="A207" s="55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</row>
    <row r="208" customFormat="false" ht="15.75" hidden="false" customHeight="true" outlineLevel="0" collapsed="false">
      <c r="A208" s="55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</row>
    <row r="209" customFormat="false" ht="15.75" hidden="false" customHeight="true" outlineLevel="0" collapsed="false">
      <c r="A209" s="55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</row>
    <row r="210" customFormat="false" ht="15.75" hidden="false" customHeight="true" outlineLevel="0" collapsed="false">
      <c r="A210" s="55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</row>
    <row r="211" customFormat="false" ht="15.75" hidden="false" customHeight="true" outlineLevel="0" collapsed="false">
      <c r="A211" s="55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</row>
    <row r="212" customFormat="false" ht="15.75" hidden="false" customHeight="true" outlineLevel="0" collapsed="false">
      <c r="A212" s="55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</row>
    <row r="213" customFormat="false" ht="15.75" hidden="false" customHeight="true" outlineLevel="0" collapsed="false">
      <c r="A213" s="55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</row>
    <row r="214" customFormat="false" ht="15.75" hidden="false" customHeight="true" outlineLevel="0" collapsed="false">
      <c r="A214" s="55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</row>
    <row r="215" customFormat="false" ht="15.75" hidden="false" customHeight="true" outlineLevel="0" collapsed="false">
      <c r="A215" s="55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</row>
    <row r="216" customFormat="false" ht="15.75" hidden="false" customHeight="true" outlineLevel="0" collapsed="false">
      <c r="A216" s="55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</row>
    <row r="217" customFormat="false" ht="15.75" hidden="false" customHeight="true" outlineLevel="0" collapsed="false">
      <c r="A217" s="55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</row>
    <row r="218" customFormat="false" ht="15.75" hidden="false" customHeight="true" outlineLevel="0" collapsed="false">
      <c r="A218" s="55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</row>
    <row r="219" customFormat="false" ht="15.75" hidden="false" customHeight="true" outlineLevel="0" collapsed="false">
      <c r="A219" s="55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</row>
    <row r="220" customFormat="false" ht="15.75" hidden="false" customHeight="true" outlineLevel="0" collapsed="false">
      <c r="A220" s="55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</row>
    <row r="221" customFormat="false" ht="15.75" hidden="false" customHeight="true" outlineLevel="0" collapsed="false">
      <c r="A221" s="55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</row>
    <row r="222" customFormat="false" ht="15.75" hidden="false" customHeight="true" outlineLevel="0" collapsed="false">
      <c r="A222" s="55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</row>
    <row r="223" customFormat="false" ht="15.75" hidden="false" customHeight="true" outlineLevel="0" collapsed="false">
      <c r="A223" s="55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</row>
    <row r="224" customFormat="false" ht="15.7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</row>
    <row r="225" customFormat="false" ht="15.75" hidden="false" customHeight="true" outlineLevel="0" collapsed="false">
      <c r="A225" s="55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</row>
    <row r="226" customFormat="false" ht="15.75" hidden="false" customHeight="true" outlineLevel="0" collapsed="false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</row>
    <row r="227" customFormat="false" ht="15.75" hidden="false" customHeight="true" outlineLevel="0" collapsed="false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</row>
    <row r="228" customFormat="false" ht="15.75" hidden="false" customHeight="true" outlineLevel="0" collapsed="false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</row>
    <row r="229" customFormat="false" ht="15.75" hidden="false" customHeight="true" outlineLevel="0" collapsed="false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</row>
    <row r="230" customFormat="false" ht="15.75" hidden="false" customHeight="true" outlineLevel="0" collapsed="false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</row>
    <row r="231" customFormat="false" ht="15.75" hidden="false" customHeight="true" outlineLevel="0" collapsed="false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</row>
    <row r="232" customFormat="false" ht="15.75" hidden="false" customHeight="true" outlineLevel="0" collapsed="false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</row>
    <row r="233" customFormat="false" ht="15.75" hidden="false" customHeight="true" outlineLevel="0" collapsed="false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</row>
    <row r="234" customFormat="false" ht="15.75" hidden="false" customHeight="true" outlineLevel="0" collapsed="false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</row>
    <row r="235" customFormat="false" ht="15.75" hidden="false" customHeight="true" outlineLevel="0" collapsed="false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</row>
    <row r="236" customFormat="false" ht="15.75" hidden="false" customHeight="true" outlineLevel="0" collapsed="false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</row>
    <row r="237" customFormat="false" ht="15.75" hidden="false" customHeight="true" outlineLevel="0" collapsed="false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</row>
    <row r="238" customFormat="false" ht="15.75" hidden="false" customHeight="true" outlineLevel="0" collapsed="false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</row>
    <row r="239" customFormat="false" ht="15.75" hidden="false" customHeight="true" outlineLevel="0" collapsed="false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</row>
    <row r="240" customFormat="false" ht="15.75" hidden="false" customHeight="true" outlineLevel="0" collapsed="false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</row>
    <row r="241" customFormat="false" ht="15.75" hidden="false" customHeight="true" outlineLevel="0" collapsed="false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</row>
    <row r="242" customFormat="false" ht="15.75" hidden="false" customHeight="true" outlineLevel="0" collapsed="false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</row>
    <row r="243" customFormat="false" ht="15.75" hidden="false" customHeight="true" outlineLevel="0" collapsed="false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</row>
    <row r="244" customFormat="false" ht="15.75" hidden="false" customHeight="true" outlineLevel="0" collapsed="false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</row>
    <row r="245" customFormat="false" ht="15.75" hidden="false" customHeight="true" outlineLevel="0" collapsed="false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</row>
    <row r="246" customFormat="false" ht="15.75" hidden="false" customHeight="true" outlineLevel="0" collapsed="false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</row>
    <row r="247" customFormat="false" ht="15.75" hidden="false" customHeight="true" outlineLevel="0" collapsed="false">
      <c r="A247" s="55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</row>
    <row r="248" customFormat="false" ht="15.75" hidden="false" customHeight="true" outlineLevel="0" collapsed="false">
      <c r="A248" s="55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</row>
    <row r="249" customFormat="false" ht="15.75" hidden="false" customHeight="true" outlineLevel="0" collapsed="false">
      <c r="A249" s="55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</row>
    <row r="250" customFormat="false" ht="15.75" hidden="false" customHeight="true" outlineLevel="0" collapsed="false">
      <c r="A250" s="55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</row>
    <row r="251" customFormat="false" ht="15.75" hidden="false" customHeight="true" outlineLevel="0" collapsed="false">
      <c r="A251" s="55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</row>
    <row r="252" customFormat="false" ht="15.75" hidden="false" customHeight="true" outlineLevel="0" collapsed="false">
      <c r="A252" s="55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</row>
    <row r="253" customFormat="false" ht="15.75" hidden="false" customHeight="true" outlineLevel="0" collapsed="false">
      <c r="A253" s="55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</row>
    <row r="254" customFormat="false" ht="15.75" hidden="false" customHeight="true" outlineLevel="0" collapsed="false">
      <c r="A254" s="55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</row>
    <row r="255" customFormat="false" ht="15.75" hidden="false" customHeight="true" outlineLevel="0" collapsed="false">
      <c r="A255" s="55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</row>
    <row r="256" customFormat="false" ht="15.75" hidden="false" customHeight="true" outlineLevel="0" collapsed="false">
      <c r="A256" s="55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</row>
    <row r="257" customFormat="false" ht="15.75" hidden="false" customHeight="true" outlineLevel="0" collapsed="false">
      <c r="A257" s="55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</row>
    <row r="258" customFormat="false" ht="15.75" hidden="false" customHeight="true" outlineLevel="0" collapsed="false">
      <c r="A258" s="55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</row>
    <row r="259" customFormat="false" ht="15.75" hidden="false" customHeight="true" outlineLevel="0" collapsed="false">
      <c r="A259" s="55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</row>
    <row r="260" customFormat="false" ht="15.75" hidden="false" customHeight="true" outlineLevel="0" collapsed="false">
      <c r="A260" s="55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</row>
    <row r="261" customFormat="false" ht="15.75" hidden="false" customHeight="true" outlineLevel="0" collapsed="false">
      <c r="A261" s="55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</row>
    <row r="262" customFormat="false" ht="15.75" hidden="false" customHeight="true" outlineLevel="0" collapsed="false">
      <c r="A262" s="55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</row>
    <row r="263" customFormat="false" ht="15.75" hidden="false" customHeight="true" outlineLevel="0" collapsed="false">
      <c r="A263" s="55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</row>
    <row r="264" customFormat="false" ht="15.75" hidden="false" customHeight="true" outlineLevel="0" collapsed="false">
      <c r="A264" s="55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</row>
    <row r="265" customFormat="false" ht="15.75" hidden="false" customHeight="true" outlineLevel="0" collapsed="false">
      <c r="A265" s="55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</row>
    <row r="266" customFormat="false" ht="15.75" hidden="false" customHeight="true" outlineLevel="0" collapsed="false">
      <c r="A266" s="55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</row>
    <row r="267" customFormat="false" ht="15.75" hidden="false" customHeight="true" outlineLevel="0" collapsed="false">
      <c r="A267" s="55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</row>
    <row r="268" customFormat="false" ht="15.75" hidden="false" customHeight="true" outlineLevel="0" collapsed="false">
      <c r="A268" s="55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</row>
    <row r="269" customFormat="false" ht="15.75" hidden="false" customHeight="true" outlineLevel="0" collapsed="false">
      <c r="A269" s="55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</row>
    <row r="270" customFormat="false" ht="15.75" hidden="false" customHeight="true" outlineLevel="0" collapsed="false">
      <c r="A270" s="55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</row>
    <row r="271" customFormat="false" ht="15.75" hidden="false" customHeight="true" outlineLevel="0" collapsed="false">
      <c r="A271" s="55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</row>
    <row r="272" customFormat="false" ht="15.75" hidden="false" customHeight="true" outlineLevel="0" collapsed="false">
      <c r="A272" s="55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</row>
    <row r="273" customFormat="false" ht="15.75" hidden="false" customHeight="true" outlineLevel="0" collapsed="false">
      <c r="A273" s="55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</row>
    <row r="274" customFormat="false" ht="15.75" hidden="false" customHeight="true" outlineLevel="0" collapsed="false">
      <c r="A274" s="55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</row>
    <row r="275" customFormat="false" ht="15.75" hidden="false" customHeight="true" outlineLevel="0" collapsed="false">
      <c r="A275" s="55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</row>
    <row r="276" customFormat="false" ht="15.75" hidden="false" customHeight="true" outlineLevel="0" collapsed="false">
      <c r="A276" s="55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</row>
    <row r="277" customFormat="false" ht="15.75" hidden="false" customHeight="true" outlineLevel="0" collapsed="false">
      <c r="A277" s="55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</row>
    <row r="278" customFormat="false" ht="15.75" hidden="false" customHeight="true" outlineLevel="0" collapsed="false">
      <c r="A278" s="55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</row>
    <row r="279" customFormat="false" ht="15.75" hidden="false" customHeight="true" outlineLevel="0" collapsed="false">
      <c r="A279" s="55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</row>
    <row r="280" customFormat="false" ht="15.75" hidden="false" customHeight="true" outlineLevel="0" collapsed="false">
      <c r="A280" s="55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</row>
    <row r="281" customFormat="false" ht="15.75" hidden="false" customHeight="true" outlineLevel="0" collapsed="false">
      <c r="A281" s="55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</row>
    <row r="282" customFormat="false" ht="15.75" hidden="false" customHeight="true" outlineLevel="0" collapsed="false">
      <c r="A282" s="55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</row>
    <row r="283" customFormat="false" ht="15.75" hidden="false" customHeight="true" outlineLevel="0" collapsed="false">
      <c r="A283" s="55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</row>
    <row r="284" customFormat="false" ht="15.75" hidden="false" customHeight="true" outlineLevel="0" collapsed="false">
      <c r="A284" s="55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</row>
    <row r="285" customFormat="false" ht="15.75" hidden="false" customHeight="true" outlineLevel="0" collapsed="false">
      <c r="A285" s="55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</row>
    <row r="286" customFormat="false" ht="15.75" hidden="false" customHeight="true" outlineLevel="0" collapsed="false">
      <c r="A286" s="55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</row>
    <row r="287" customFormat="false" ht="15.75" hidden="false" customHeight="true" outlineLevel="0" collapsed="false">
      <c r="A287" s="55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</row>
    <row r="288" customFormat="false" ht="15.75" hidden="false" customHeight="true" outlineLevel="0" collapsed="false">
      <c r="A288" s="55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</row>
    <row r="289" customFormat="false" ht="15.75" hidden="false" customHeight="true" outlineLevel="0" collapsed="false">
      <c r="A289" s="55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</row>
    <row r="290" customFormat="false" ht="15.75" hidden="false" customHeight="true" outlineLevel="0" collapsed="false">
      <c r="A290" s="55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</row>
    <row r="291" customFormat="false" ht="15.75" hidden="false" customHeight="true" outlineLevel="0" collapsed="false">
      <c r="A291" s="55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</row>
    <row r="292" customFormat="false" ht="15.75" hidden="false" customHeight="true" outlineLevel="0" collapsed="false">
      <c r="A292" s="55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</row>
    <row r="293" customFormat="false" ht="15.75" hidden="false" customHeight="true" outlineLevel="0" collapsed="false">
      <c r="A293" s="55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</row>
    <row r="294" customFormat="false" ht="15.75" hidden="false" customHeight="true" outlineLevel="0" collapsed="false">
      <c r="A294" s="55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</row>
    <row r="295" customFormat="false" ht="15.75" hidden="false" customHeight="true" outlineLevel="0" collapsed="false">
      <c r="A295" s="55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</row>
    <row r="296" customFormat="false" ht="15.75" hidden="false" customHeight="true" outlineLevel="0" collapsed="false">
      <c r="A296" s="55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</row>
    <row r="297" customFormat="false" ht="15.75" hidden="false" customHeight="true" outlineLevel="0" collapsed="false">
      <c r="A297" s="55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</row>
    <row r="298" customFormat="false" ht="15.75" hidden="false" customHeight="true" outlineLevel="0" collapsed="false">
      <c r="A298" s="55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</row>
    <row r="299" customFormat="false" ht="15.75" hidden="false" customHeight="true" outlineLevel="0" collapsed="false">
      <c r="A299" s="55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</row>
    <row r="300" customFormat="false" ht="15.75" hidden="false" customHeight="true" outlineLevel="0" collapsed="false">
      <c r="A300" s="55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</row>
    <row r="301" customFormat="false" ht="15.75" hidden="false" customHeight="true" outlineLevel="0" collapsed="false">
      <c r="A301" s="55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</row>
    <row r="302" customFormat="false" ht="15.75" hidden="false" customHeight="true" outlineLevel="0" collapsed="false">
      <c r="A302" s="55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</row>
    <row r="303" customFormat="false" ht="15.75" hidden="false" customHeight="true" outlineLevel="0" collapsed="false">
      <c r="A303" s="55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</row>
    <row r="304" customFormat="false" ht="15.75" hidden="false" customHeight="true" outlineLevel="0" collapsed="false">
      <c r="A304" s="55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</row>
    <row r="305" customFormat="false" ht="15.75" hidden="false" customHeight="true" outlineLevel="0" collapsed="false">
      <c r="A305" s="55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</row>
    <row r="306" customFormat="false" ht="15.75" hidden="false" customHeight="true" outlineLevel="0" collapsed="false">
      <c r="A306" s="55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</row>
    <row r="307" customFormat="false" ht="15.75" hidden="false" customHeight="true" outlineLevel="0" collapsed="false">
      <c r="A307" s="55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</row>
    <row r="308" customFormat="false" ht="15.75" hidden="false" customHeight="true" outlineLevel="0" collapsed="false">
      <c r="A308" s="55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</row>
    <row r="309" customFormat="false" ht="15.75" hidden="false" customHeight="true" outlineLevel="0" collapsed="false">
      <c r="A309" s="55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</row>
    <row r="310" customFormat="false" ht="15.75" hidden="false" customHeight="true" outlineLevel="0" collapsed="false">
      <c r="A310" s="55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</row>
    <row r="311" customFormat="false" ht="15.75" hidden="false" customHeight="true" outlineLevel="0" collapsed="false">
      <c r="A311" s="55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</row>
    <row r="312" customFormat="false" ht="15.75" hidden="false" customHeight="true" outlineLevel="0" collapsed="false">
      <c r="A312" s="55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</row>
    <row r="313" customFormat="false" ht="15.75" hidden="false" customHeight="true" outlineLevel="0" collapsed="false">
      <c r="A313" s="55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</row>
    <row r="314" customFormat="false" ht="15.75" hidden="false" customHeight="true" outlineLevel="0" collapsed="false">
      <c r="A314" s="55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</row>
    <row r="315" customFormat="false" ht="15.75" hidden="false" customHeight="true" outlineLevel="0" collapsed="false">
      <c r="A315" s="55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</row>
    <row r="316" customFormat="false" ht="15.75" hidden="false" customHeight="true" outlineLevel="0" collapsed="false">
      <c r="A316" s="55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</row>
    <row r="317" customFormat="false" ht="15.75" hidden="false" customHeight="true" outlineLevel="0" collapsed="false">
      <c r="A317" s="55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</row>
    <row r="318" customFormat="false" ht="15.75" hidden="false" customHeight="true" outlineLevel="0" collapsed="false">
      <c r="A318" s="55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</row>
    <row r="319" customFormat="false" ht="15.75" hidden="false" customHeight="true" outlineLevel="0" collapsed="false">
      <c r="A319" s="55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</row>
    <row r="320" customFormat="false" ht="15.75" hidden="false" customHeight="true" outlineLevel="0" collapsed="false">
      <c r="A320" s="55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</row>
    <row r="321" customFormat="false" ht="15.75" hidden="false" customHeight="true" outlineLevel="0" collapsed="false">
      <c r="A321" s="55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</row>
    <row r="322" customFormat="false" ht="15.75" hidden="false" customHeight="true" outlineLevel="0" collapsed="false">
      <c r="A322" s="55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</row>
    <row r="323" customFormat="false" ht="15.75" hidden="false" customHeight="true" outlineLevel="0" collapsed="false">
      <c r="A323" s="55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</row>
    <row r="324" customFormat="false" ht="15.75" hidden="false" customHeight="true" outlineLevel="0" collapsed="false">
      <c r="A324" s="55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</row>
    <row r="325" customFormat="false" ht="15.75" hidden="false" customHeight="true" outlineLevel="0" collapsed="false">
      <c r="A325" s="55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</row>
    <row r="326" customFormat="false" ht="15.75" hidden="false" customHeight="true" outlineLevel="0" collapsed="false">
      <c r="A326" s="55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</row>
    <row r="327" customFormat="false" ht="15.75" hidden="false" customHeight="true" outlineLevel="0" collapsed="false">
      <c r="A327" s="55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</row>
    <row r="328" customFormat="false" ht="15.75" hidden="false" customHeight="true" outlineLevel="0" collapsed="false">
      <c r="A328" s="55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</row>
    <row r="329" customFormat="false" ht="15.75" hidden="false" customHeight="true" outlineLevel="0" collapsed="false">
      <c r="A329" s="55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</row>
    <row r="330" customFormat="false" ht="15.75" hidden="false" customHeight="true" outlineLevel="0" collapsed="false">
      <c r="A330" s="55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</row>
    <row r="331" customFormat="false" ht="15.75" hidden="false" customHeight="true" outlineLevel="0" collapsed="false">
      <c r="A331" s="55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</row>
    <row r="332" customFormat="false" ht="15.75" hidden="false" customHeight="true" outlineLevel="0" collapsed="false">
      <c r="A332" s="55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</row>
    <row r="333" customFormat="false" ht="15.75" hidden="false" customHeight="true" outlineLevel="0" collapsed="false">
      <c r="A333" s="55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</row>
    <row r="334" customFormat="false" ht="15.75" hidden="false" customHeight="true" outlineLevel="0" collapsed="false">
      <c r="A334" s="55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</row>
    <row r="335" customFormat="false" ht="15.75" hidden="false" customHeight="true" outlineLevel="0" collapsed="false">
      <c r="A335" s="55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</row>
    <row r="336" customFormat="false" ht="15.75" hidden="false" customHeight="true" outlineLevel="0" collapsed="false">
      <c r="A336" s="55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</row>
    <row r="337" customFormat="false" ht="15.75" hidden="false" customHeight="true" outlineLevel="0" collapsed="false">
      <c r="A337" s="55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</row>
    <row r="338" customFormat="false" ht="15.75" hidden="false" customHeight="true" outlineLevel="0" collapsed="false">
      <c r="A338" s="55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</row>
    <row r="339" customFormat="false" ht="15.75" hidden="false" customHeight="true" outlineLevel="0" collapsed="false">
      <c r="A339" s="55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</row>
    <row r="340" customFormat="false" ht="15.75" hidden="false" customHeight="true" outlineLevel="0" collapsed="false">
      <c r="A340" s="55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</row>
    <row r="341" customFormat="false" ht="15.75" hidden="false" customHeight="true" outlineLevel="0" collapsed="false">
      <c r="A341" s="55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</row>
    <row r="342" customFormat="false" ht="15.75" hidden="false" customHeight="true" outlineLevel="0" collapsed="false">
      <c r="A342" s="55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</row>
    <row r="343" customFormat="false" ht="15.75" hidden="false" customHeight="true" outlineLevel="0" collapsed="false">
      <c r="A343" s="55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</row>
    <row r="344" customFormat="false" ht="15.75" hidden="false" customHeight="true" outlineLevel="0" collapsed="false">
      <c r="A344" s="55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</row>
    <row r="345" customFormat="false" ht="15.75" hidden="false" customHeight="true" outlineLevel="0" collapsed="false">
      <c r="A345" s="55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</row>
    <row r="346" customFormat="false" ht="15.75" hidden="false" customHeight="true" outlineLevel="0" collapsed="false">
      <c r="A346" s="55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</row>
    <row r="347" customFormat="false" ht="15.75" hidden="false" customHeight="true" outlineLevel="0" collapsed="false">
      <c r="A347" s="55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</row>
    <row r="348" customFormat="false" ht="15.75" hidden="false" customHeight="true" outlineLevel="0" collapsed="false">
      <c r="A348" s="55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</row>
    <row r="349" customFormat="false" ht="15.75" hidden="false" customHeight="true" outlineLevel="0" collapsed="false">
      <c r="A349" s="55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</row>
    <row r="350" customFormat="false" ht="15.75" hidden="false" customHeight="true" outlineLevel="0" collapsed="false">
      <c r="A350" s="55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</row>
    <row r="351" customFormat="false" ht="15.75" hidden="false" customHeight="true" outlineLevel="0" collapsed="false">
      <c r="A351" s="55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</row>
    <row r="352" customFormat="false" ht="15.75" hidden="false" customHeight="true" outlineLevel="0" collapsed="false">
      <c r="A352" s="55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</row>
    <row r="353" customFormat="false" ht="15.75" hidden="false" customHeight="true" outlineLevel="0" collapsed="false">
      <c r="A353" s="55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</row>
    <row r="354" customFormat="false" ht="15.75" hidden="false" customHeight="true" outlineLevel="0" collapsed="false">
      <c r="A354" s="55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</row>
    <row r="355" customFormat="false" ht="15.75" hidden="false" customHeight="true" outlineLevel="0" collapsed="false">
      <c r="A355" s="55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</row>
    <row r="356" customFormat="false" ht="15.75" hidden="false" customHeight="true" outlineLevel="0" collapsed="false">
      <c r="A356" s="55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</row>
    <row r="357" customFormat="false" ht="15.75" hidden="false" customHeight="true" outlineLevel="0" collapsed="false">
      <c r="A357" s="55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</row>
    <row r="358" customFormat="false" ht="15.75" hidden="false" customHeight="true" outlineLevel="0" collapsed="false">
      <c r="A358" s="55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</row>
    <row r="359" customFormat="false" ht="15.75" hidden="false" customHeight="true" outlineLevel="0" collapsed="false">
      <c r="A359" s="55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</row>
    <row r="360" customFormat="false" ht="15.75" hidden="false" customHeight="true" outlineLevel="0" collapsed="false">
      <c r="A360" s="55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</row>
    <row r="361" customFormat="false" ht="15.75" hidden="false" customHeight="true" outlineLevel="0" collapsed="false">
      <c r="A361" s="55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</row>
    <row r="362" customFormat="false" ht="15.75" hidden="false" customHeight="true" outlineLevel="0" collapsed="false">
      <c r="A362" s="55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</row>
    <row r="363" customFormat="false" ht="15.75" hidden="false" customHeight="true" outlineLevel="0" collapsed="false">
      <c r="A363" s="55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</row>
    <row r="364" customFormat="false" ht="15.75" hidden="false" customHeight="true" outlineLevel="0" collapsed="false">
      <c r="A364" s="55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</row>
    <row r="365" customFormat="false" ht="15.75" hidden="false" customHeight="true" outlineLevel="0" collapsed="false">
      <c r="A365" s="55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</row>
    <row r="366" customFormat="false" ht="15.75" hidden="false" customHeight="true" outlineLevel="0" collapsed="false">
      <c r="A366" s="55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</row>
    <row r="367" customFormat="false" ht="15.75" hidden="false" customHeight="true" outlineLevel="0" collapsed="false">
      <c r="A367" s="55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</row>
    <row r="368" customFormat="false" ht="15.75" hidden="false" customHeight="true" outlineLevel="0" collapsed="false">
      <c r="A368" s="55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</row>
    <row r="369" customFormat="false" ht="15.75" hidden="false" customHeight="true" outlineLevel="0" collapsed="false">
      <c r="A369" s="55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</row>
    <row r="370" customFormat="false" ht="15.75" hidden="false" customHeight="true" outlineLevel="0" collapsed="false">
      <c r="A370" s="55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</row>
    <row r="371" customFormat="false" ht="15.75" hidden="false" customHeight="true" outlineLevel="0" collapsed="false">
      <c r="A371" s="55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</row>
    <row r="372" customFormat="false" ht="15.75" hidden="false" customHeight="true" outlineLevel="0" collapsed="false">
      <c r="A372" s="55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</row>
    <row r="373" customFormat="false" ht="15.75" hidden="false" customHeight="true" outlineLevel="0" collapsed="false">
      <c r="A373" s="55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</row>
    <row r="374" customFormat="false" ht="15.75" hidden="false" customHeight="true" outlineLevel="0" collapsed="false">
      <c r="A374" s="55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</row>
    <row r="375" customFormat="false" ht="15.75" hidden="false" customHeight="true" outlineLevel="0" collapsed="false">
      <c r="A375" s="55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</row>
    <row r="376" customFormat="false" ht="15.75" hidden="false" customHeight="true" outlineLevel="0" collapsed="false">
      <c r="A376" s="55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</row>
    <row r="377" customFormat="false" ht="15.75" hidden="false" customHeight="true" outlineLevel="0" collapsed="false">
      <c r="A377" s="55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</row>
    <row r="378" customFormat="false" ht="15.75" hidden="false" customHeight="true" outlineLevel="0" collapsed="false">
      <c r="A378" s="55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</row>
    <row r="379" customFormat="false" ht="15.75" hidden="false" customHeight="true" outlineLevel="0" collapsed="false">
      <c r="A379" s="55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</row>
    <row r="380" customFormat="false" ht="15.75" hidden="false" customHeight="true" outlineLevel="0" collapsed="false">
      <c r="A380" s="55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</row>
    <row r="381" customFormat="false" ht="15.75" hidden="false" customHeight="true" outlineLevel="0" collapsed="false">
      <c r="A381" s="55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</row>
    <row r="382" customFormat="false" ht="15.75" hidden="false" customHeight="true" outlineLevel="0" collapsed="false">
      <c r="A382" s="55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</row>
    <row r="383" customFormat="false" ht="15.75" hidden="false" customHeight="true" outlineLevel="0" collapsed="false">
      <c r="A383" s="55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</row>
    <row r="384" customFormat="false" ht="15.75" hidden="false" customHeight="true" outlineLevel="0" collapsed="false">
      <c r="A384" s="55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</row>
    <row r="385" customFormat="false" ht="15.75" hidden="false" customHeight="true" outlineLevel="0" collapsed="false">
      <c r="A385" s="55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</row>
    <row r="386" customFormat="false" ht="15.75" hidden="false" customHeight="true" outlineLevel="0" collapsed="false">
      <c r="A386" s="55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</row>
    <row r="387" customFormat="false" ht="15.75" hidden="false" customHeight="true" outlineLevel="0" collapsed="false">
      <c r="A387" s="55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</row>
    <row r="388" customFormat="false" ht="15.75" hidden="false" customHeight="true" outlineLevel="0" collapsed="false">
      <c r="A388" s="55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</row>
    <row r="389" customFormat="false" ht="15.75" hidden="false" customHeight="true" outlineLevel="0" collapsed="false">
      <c r="A389" s="55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</row>
    <row r="390" customFormat="false" ht="15.75" hidden="false" customHeight="true" outlineLevel="0" collapsed="false">
      <c r="A390" s="55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</row>
    <row r="391" customFormat="false" ht="15.75" hidden="false" customHeight="true" outlineLevel="0" collapsed="false">
      <c r="A391" s="55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</row>
    <row r="392" customFormat="false" ht="15.75" hidden="false" customHeight="true" outlineLevel="0" collapsed="false">
      <c r="A392" s="55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</row>
    <row r="393" customFormat="false" ht="15.75" hidden="false" customHeight="true" outlineLevel="0" collapsed="false">
      <c r="A393" s="55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</row>
    <row r="394" customFormat="false" ht="15.75" hidden="false" customHeight="true" outlineLevel="0" collapsed="false">
      <c r="A394" s="55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</row>
    <row r="395" customFormat="false" ht="15.75" hidden="false" customHeight="true" outlineLevel="0" collapsed="false">
      <c r="A395" s="55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</row>
    <row r="396" customFormat="false" ht="15.75" hidden="false" customHeight="true" outlineLevel="0" collapsed="false">
      <c r="A396" s="55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</row>
    <row r="397" customFormat="false" ht="15.75" hidden="false" customHeight="true" outlineLevel="0" collapsed="false">
      <c r="A397" s="55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</row>
    <row r="398" customFormat="false" ht="15.75" hidden="false" customHeight="true" outlineLevel="0" collapsed="false">
      <c r="A398" s="55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</row>
    <row r="399" customFormat="false" ht="15.75" hidden="false" customHeight="true" outlineLevel="0" collapsed="false">
      <c r="A399" s="55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</row>
    <row r="400" customFormat="false" ht="15.75" hidden="false" customHeight="true" outlineLevel="0" collapsed="false">
      <c r="A400" s="55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</row>
    <row r="401" customFormat="false" ht="15.75" hidden="false" customHeight="true" outlineLevel="0" collapsed="false">
      <c r="A401" s="55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</row>
    <row r="402" customFormat="false" ht="15.75" hidden="false" customHeight="true" outlineLevel="0" collapsed="false">
      <c r="A402" s="55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</row>
    <row r="403" customFormat="false" ht="15.75" hidden="false" customHeight="true" outlineLevel="0" collapsed="false">
      <c r="A403" s="55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</row>
    <row r="404" customFormat="false" ht="15.75" hidden="false" customHeight="true" outlineLevel="0" collapsed="false">
      <c r="A404" s="55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</row>
    <row r="405" customFormat="false" ht="15.75" hidden="false" customHeight="true" outlineLevel="0" collapsed="false">
      <c r="A405" s="55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</row>
    <row r="406" customFormat="false" ht="15.75" hidden="false" customHeight="true" outlineLevel="0" collapsed="false">
      <c r="A406" s="55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</row>
    <row r="407" customFormat="false" ht="15.75" hidden="false" customHeight="true" outlineLevel="0" collapsed="false">
      <c r="A407" s="55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</row>
    <row r="408" customFormat="false" ht="15.75" hidden="false" customHeight="true" outlineLevel="0" collapsed="false">
      <c r="A408" s="55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</row>
    <row r="409" customFormat="false" ht="15.75" hidden="false" customHeight="true" outlineLevel="0" collapsed="false">
      <c r="A409" s="55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</row>
    <row r="410" customFormat="false" ht="15.75" hidden="false" customHeight="true" outlineLevel="0" collapsed="false">
      <c r="A410" s="55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</row>
    <row r="411" customFormat="false" ht="15.75" hidden="false" customHeight="true" outlineLevel="0" collapsed="false">
      <c r="A411" s="55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</row>
    <row r="412" customFormat="false" ht="15.75" hidden="false" customHeight="true" outlineLevel="0" collapsed="false">
      <c r="A412" s="55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</row>
    <row r="413" customFormat="false" ht="15.75" hidden="false" customHeight="true" outlineLevel="0" collapsed="false">
      <c r="A413" s="55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</row>
    <row r="414" customFormat="false" ht="15.75" hidden="false" customHeight="true" outlineLevel="0" collapsed="false">
      <c r="A414" s="55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</row>
    <row r="415" customFormat="false" ht="15.75" hidden="false" customHeight="true" outlineLevel="0" collapsed="false">
      <c r="A415" s="55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</row>
    <row r="416" customFormat="false" ht="15.75" hidden="false" customHeight="true" outlineLevel="0" collapsed="false">
      <c r="A416" s="55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</row>
    <row r="417" customFormat="false" ht="15.75" hidden="false" customHeight="true" outlineLevel="0" collapsed="false">
      <c r="A417" s="55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</row>
    <row r="418" customFormat="false" ht="15.75" hidden="false" customHeight="true" outlineLevel="0" collapsed="false">
      <c r="A418" s="55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</row>
    <row r="419" customFormat="false" ht="15.75" hidden="false" customHeight="true" outlineLevel="0" collapsed="false">
      <c r="A419" s="55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</row>
    <row r="420" customFormat="false" ht="15.75" hidden="false" customHeight="true" outlineLevel="0" collapsed="false">
      <c r="A420" s="55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</row>
    <row r="421" customFormat="false" ht="15.75" hidden="false" customHeight="true" outlineLevel="0" collapsed="false">
      <c r="A421" s="55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</row>
    <row r="422" customFormat="false" ht="15.75" hidden="false" customHeight="true" outlineLevel="0" collapsed="false">
      <c r="A422" s="55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</row>
    <row r="423" customFormat="false" ht="15.75" hidden="false" customHeight="true" outlineLevel="0" collapsed="false">
      <c r="A423" s="55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</row>
    <row r="424" customFormat="false" ht="15.75" hidden="false" customHeight="true" outlineLevel="0" collapsed="false">
      <c r="A424" s="55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</row>
    <row r="425" customFormat="false" ht="15.75" hidden="false" customHeight="true" outlineLevel="0" collapsed="false">
      <c r="A425" s="55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</row>
    <row r="426" customFormat="false" ht="15.75" hidden="false" customHeight="true" outlineLevel="0" collapsed="false">
      <c r="A426" s="55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</row>
    <row r="427" customFormat="false" ht="15.75" hidden="false" customHeight="true" outlineLevel="0" collapsed="false">
      <c r="A427" s="55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</row>
    <row r="428" customFormat="false" ht="15.75" hidden="false" customHeight="true" outlineLevel="0" collapsed="false">
      <c r="A428" s="55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</row>
    <row r="429" customFormat="false" ht="15.75" hidden="false" customHeight="true" outlineLevel="0" collapsed="false">
      <c r="A429" s="55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</row>
    <row r="430" customFormat="false" ht="15.75" hidden="false" customHeight="true" outlineLevel="0" collapsed="false">
      <c r="A430" s="55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</row>
    <row r="431" customFormat="false" ht="15.75" hidden="false" customHeight="true" outlineLevel="0" collapsed="false">
      <c r="A431" s="55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</row>
    <row r="432" customFormat="false" ht="15.75" hidden="false" customHeight="true" outlineLevel="0" collapsed="false">
      <c r="A432" s="55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</row>
    <row r="433" customFormat="false" ht="15.75" hidden="false" customHeight="true" outlineLevel="0" collapsed="false">
      <c r="A433" s="55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</row>
    <row r="434" customFormat="false" ht="15.75" hidden="false" customHeight="true" outlineLevel="0" collapsed="false">
      <c r="A434" s="55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</row>
    <row r="435" customFormat="false" ht="15.75" hidden="false" customHeight="true" outlineLevel="0" collapsed="false">
      <c r="A435" s="55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</row>
    <row r="436" customFormat="false" ht="15.75" hidden="false" customHeight="true" outlineLevel="0" collapsed="false">
      <c r="A436" s="55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</row>
    <row r="437" customFormat="false" ht="15.75" hidden="false" customHeight="true" outlineLevel="0" collapsed="false">
      <c r="A437" s="55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</row>
    <row r="438" customFormat="false" ht="15.75" hidden="false" customHeight="true" outlineLevel="0" collapsed="false">
      <c r="A438" s="55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</row>
    <row r="439" customFormat="false" ht="15.75" hidden="false" customHeight="true" outlineLevel="0" collapsed="false">
      <c r="A439" s="55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</row>
    <row r="440" customFormat="false" ht="15.75" hidden="false" customHeight="true" outlineLevel="0" collapsed="false">
      <c r="A440" s="55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</row>
    <row r="441" customFormat="false" ht="15.75" hidden="false" customHeight="true" outlineLevel="0" collapsed="false">
      <c r="A441" s="55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</row>
    <row r="442" customFormat="false" ht="15.75" hidden="false" customHeight="true" outlineLevel="0" collapsed="false">
      <c r="A442" s="55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</row>
    <row r="443" customFormat="false" ht="15.75" hidden="false" customHeight="true" outlineLevel="0" collapsed="false">
      <c r="A443" s="55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</row>
    <row r="444" customFormat="false" ht="15.75" hidden="false" customHeight="true" outlineLevel="0" collapsed="false">
      <c r="A444" s="55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</row>
    <row r="445" customFormat="false" ht="15.75" hidden="false" customHeight="true" outlineLevel="0" collapsed="false">
      <c r="A445" s="55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</row>
    <row r="446" customFormat="false" ht="15.75" hidden="false" customHeight="true" outlineLevel="0" collapsed="false">
      <c r="A446" s="55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</row>
    <row r="447" customFormat="false" ht="15.75" hidden="false" customHeight="true" outlineLevel="0" collapsed="false">
      <c r="A447" s="55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</row>
    <row r="448" customFormat="false" ht="15.75" hidden="false" customHeight="true" outlineLevel="0" collapsed="false">
      <c r="A448" s="55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</row>
    <row r="449" customFormat="false" ht="15.75" hidden="false" customHeight="true" outlineLevel="0" collapsed="false">
      <c r="A449" s="55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</row>
    <row r="450" customFormat="false" ht="15.75" hidden="false" customHeight="true" outlineLevel="0" collapsed="false">
      <c r="A450" s="55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</row>
    <row r="451" customFormat="false" ht="15.75" hidden="false" customHeight="true" outlineLevel="0" collapsed="false">
      <c r="A451" s="55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</row>
    <row r="452" customFormat="false" ht="15.75" hidden="false" customHeight="true" outlineLevel="0" collapsed="false">
      <c r="A452" s="55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</row>
    <row r="453" customFormat="false" ht="15.75" hidden="false" customHeight="true" outlineLevel="0" collapsed="false">
      <c r="A453" s="55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</row>
    <row r="454" customFormat="false" ht="15.75" hidden="false" customHeight="true" outlineLevel="0" collapsed="false">
      <c r="A454" s="55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</row>
    <row r="455" customFormat="false" ht="15.75" hidden="false" customHeight="true" outlineLevel="0" collapsed="false">
      <c r="A455" s="55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</row>
    <row r="456" customFormat="false" ht="15.75" hidden="false" customHeight="true" outlineLevel="0" collapsed="false">
      <c r="A456" s="55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</row>
    <row r="457" customFormat="false" ht="15.75" hidden="false" customHeight="true" outlineLevel="0" collapsed="false">
      <c r="A457" s="55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</row>
    <row r="458" customFormat="false" ht="15.75" hidden="false" customHeight="true" outlineLevel="0" collapsed="false">
      <c r="A458" s="55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</row>
    <row r="459" customFormat="false" ht="15.75" hidden="false" customHeight="true" outlineLevel="0" collapsed="false">
      <c r="A459" s="55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</row>
    <row r="460" customFormat="false" ht="15.75" hidden="false" customHeight="true" outlineLevel="0" collapsed="false">
      <c r="A460" s="55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</row>
    <row r="461" customFormat="false" ht="15.75" hidden="false" customHeight="true" outlineLevel="0" collapsed="false">
      <c r="A461" s="55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</row>
    <row r="462" customFormat="false" ht="15.75" hidden="false" customHeight="true" outlineLevel="0" collapsed="false">
      <c r="A462" s="55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</row>
    <row r="463" customFormat="false" ht="15.75" hidden="false" customHeight="true" outlineLevel="0" collapsed="false">
      <c r="A463" s="55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</row>
    <row r="464" customFormat="false" ht="15.75" hidden="false" customHeight="true" outlineLevel="0" collapsed="false">
      <c r="A464" s="55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</row>
    <row r="465" customFormat="false" ht="15.75" hidden="false" customHeight="true" outlineLevel="0" collapsed="false">
      <c r="A465" s="55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</row>
    <row r="466" customFormat="false" ht="15.75" hidden="false" customHeight="true" outlineLevel="0" collapsed="false">
      <c r="A466" s="55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</row>
    <row r="467" customFormat="false" ht="15.75" hidden="false" customHeight="true" outlineLevel="0" collapsed="false">
      <c r="A467" s="55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</row>
    <row r="468" customFormat="false" ht="15.75" hidden="false" customHeight="true" outlineLevel="0" collapsed="false">
      <c r="A468" s="55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</row>
    <row r="469" customFormat="false" ht="15.75" hidden="false" customHeight="true" outlineLevel="0" collapsed="false">
      <c r="A469" s="55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</row>
    <row r="470" customFormat="false" ht="15.75" hidden="false" customHeight="true" outlineLevel="0" collapsed="false">
      <c r="A470" s="55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</row>
    <row r="471" customFormat="false" ht="15.75" hidden="false" customHeight="true" outlineLevel="0" collapsed="false">
      <c r="A471" s="55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</row>
    <row r="472" customFormat="false" ht="15.75" hidden="false" customHeight="true" outlineLevel="0" collapsed="false">
      <c r="A472" s="55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</row>
    <row r="473" customFormat="false" ht="15.75" hidden="false" customHeight="true" outlineLevel="0" collapsed="false">
      <c r="A473" s="55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</row>
    <row r="474" customFormat="false" ht="15.75" hidden="false" customHeight="true" outlineLevel="0" collapsed="false">
      <c r="A474" s="55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</row>
    <row r="475" customFormat="false" ht="15.75" hidden="false" customHeight="true" outlineLevel="0" collapsed="false">
      <c r="A475" s="55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</row>
    <row r="476" customFormat="false" ht="15.75" hidden="false" customHeight="true" outlineLevel="0" collapsed="false">
      <c r="A476" s="55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</row>
    <row r="477" customFormat="false" ht="15.75" hidden="false" customHeight="true" outlineLevel="0" collapsed="false">
      <c r="A477" s="55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</row>
    <row r="478" customFormat="false" ht="15.75" hidden="false" customHeight="true" outlineLevel="0" collapsed="false">
      <c r="A478" s="55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</row>
    <row r="479" customFormat="false" ht="15.75" hidden="false" customHeight="true" outlineLevel="0" collapsed="false">
      <c r="A479" s="55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</row>
    <row r="480" customFormat="false" ht="15.75" hidden="false" customHeight="true" outlineLevel="0" collapsed="false">
      <c r="A480" s="55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</row>
    <row r="481" customFormat="false" ht="15.75" hidden="false" customHeight="true" outlineLevel="0" collapsed="false">
      <c r="A481" s="55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</row>
    <row r="482" customFormat="false" ht="15.75" hidden="false" customHeight="true" outlineLevel="0" collapsed="false">
      <c r="A482" s="55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</row>
    <row r="483" customFormat="false" ht="15.75" hidden="false" customHeight="true" outlineLevel="0" collapsed="false">
      <c r="A483" s="55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</row>
    <row r="484" customFormat="false" ht="15.75" hidden="false" customHeight="true" outlineLevel="0" collapsed="false">
      <c r="A484" s="55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</row>
    <row r="485" customFormat="false" ht="15.75" hidden="false" customHeight="true" outlineLevel="0" collapsed="false">
      <c r="A485" s="55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</row>
    <row r="486" customFormat="false" ht="15.75" hidden="false" customHeight="true" outlineLevel="0" collapsed="false">
      <c r="A486" s="55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</row>
    <row r="487" customFormat="false" ht="15.75" hidden="false" customHeight="true" outlineLevel="0" collapsed="false">
      <c r="A487" s="55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</row>
    <row r="488" customFormat="false" ht="15.75" hidden="false" customHeight="true" outlineLevel="0" collapsed="false">
      <c r="A488" s="55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</row>
    <row r="489" customFormat="false" ht="15.75" hidden="false" customHeight="true" outlineLevel="0" collapsed="false">
      <c r="A489" s="55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</row>
    <row r="490" customFormat="false" ht="15.75" hidden="false" customHeight="true" outlineLevel="0" collapsed="false">
      <c r="A490" s="55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</row>
    <row r="491" customFormat="false" ht="15.75" hidden="false" customHeight="true" outlineLevel="0" collapsed="false">
      <c r="A491" s="55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</row>
    <row r="492" customFormat="false" ht="15.75" hidden="false" customHeight="true" outlineLevel="0" collapsed="false">
      <c r="A492" s="55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</row>
    <row r="493" customFormat="false" ht="15.75" hidden="false" customHeight="true" outlineLevel="0" collapsed="false">
      <c r="A493" s="55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</row>
    <row r="494" customFormat="false" ht="15.75" hidden="false" customHeight="true" outlineLevel="0" collapsed="false">
      <c r="A494" s="55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</row>
    <row r="495" customFormat="false" ht="15.75" hidden="false" customHeight="true" outlineLevel="0" collapsed="false">
      <c r="A495" s="55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</row>
    <row r="496" customFormat="false" ht="15.75" hidden="false" customHeight="true" outlineLevel="0" collapsed="false">
      <c r="A496" s="55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</row>
    <row r="497" customFormat="false" ht="15.75" hidden="false" customHeight="true" outlineLevel="0" collapsed="false">
      <c r="A497" s="55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</row>
    <row r="498" customFormat="false" ht="15.75" hidden="false" customHeight="true" outlineLevel="0" collapsed="false">
      <c r="A498" s="55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</row>
    <row r="499" customFormat="false" ht="15.75" hidden="false" customHeight="true" outlineLevel="0" collapsed="false">
      <c r="A499" s="55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</row>
    <row r="500" customFormat="false" ht="15.75" hidden="false" customHeight="true" outlineLevel="0" collapsed="false">
      <c r="A500" s="55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</row>
    <row r="501" customFormat="false" ht="15.75" hidden="false" customHeight="true" outlineLevel="0" collapsed="false">
      <c r="A501" s="55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</row>
    <row r="502" customFormat="false" ht="15.75" hidden="false" customHeight="true" outlineLevel="0" collapsed="false">
      <c r="A502" s="55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</row>
    <row r="503" customFormat="false" ht="15.75" hidden="false" customHeight="true" outlineLevel="0" collapsed="false">
      <c r="A503" s="55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</row>
    <row r="504" customFormat="false" ht="15.75" hidden="false" customHeight="true" outlineLevel="0" collapsed="false">
      <c r="A504" s="55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</row>
    <row r="505" customFormat="false" ht="15.75" hidden="false" customHeight="true" outlineLevel="0" collapsed="false">
      <c r="A505" s="55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</row>
    <row r="506" customFormat="false" ht="15.75" hidden="false" customHeight="true" outlineLevel="0" collapsed="false">
      <c r="A506" s="55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</row>
    <row r="507" customFormat="false" ht="15.75" hidden="false" customHeight="true" outlineLevel="0" collapsed="false">
      <c r="A507" s="55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</row>
    <row r="508" customFormat="false" ht="15.75" hidden="false" customHeight="true" outlineLevel="0" collapsed="false">
      <c r="A508" s="55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</row>
    <row r="509" customFormat="false" ht="15.75" hidden="false" customHeight="true" outlineLevel="0" collapsed="false">
      <c r="A509" s="55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</row>
    <row r="510" customFormat="false" ht="15.75" hidden="false" customHeight="true" outlineLevel="0" collapsed="false">
      <c r="A510" s="55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</row>
    <row r="511" customFormat="false" ht="15.75" hidden="false" customHeight="true" outlineLevel="0" collapsed="false">
      <c r="A511" s="55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</row>
    <row r="512" customFormat="false" ht="15.75" hidden="false" customHeight="true" outlineLevel="0" collapsed="false">
      <c r="A512" s="55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</row>
    <row r="513" customFormat="false" ht="15.75" hidden="false" customHeight="true" outlineLevel="0" collapsed="false">
      <c r="A513" s="55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</row>
    <row r="514" customFormat="false" ht="15.75" hidden="false" customHeight="true" outlineLevel="0" collapsed="false">
      <c r="A514" s="55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</row>
    <row r="515" customFormat="false" ht="15.75" hidden="false" customHeight="true" outlineLevel="0" collapsed="false">
      <c r="A515" s="55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</row>
    <row r="516" customFormat="false" ht="15.75" hidden="false" customHeight="true" outlineLevel="0" collapsed="false">
      <c r="A516" s="55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</row>
    <row r="517" customFormat="false" ht="15.75" hidden="false" customHeight="true" outlineLevel="0" collapsed="false">
      <c r="A517" s="55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</row>
    <row r="518" customFormat="false" ht="15.75" hidden="false" customHeight="true" outlineLevel="0" collapsed="false">
      <c r="A518" s="55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</row>
    <row r="519" customFormat="false" ht="15.75" hidden="false" customHeight="true" outlineLevel="0" collapsed="false">
      <c r="A519" s="55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</row>
    <row r="520" customFormat="false" ht="15.75" hidden="false" customHeight="true" outlineLevel="0" collapsed="false">
      <c r="A520" s="55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</row>
    <row r="521" customFormat="false" ht="15.75" hidden="false" customHeight="true" outlineLevel="0" collapsed="false">
      <c r="A521" s="55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</row>
    <row r="522" customFormat="false" ht="15.75" hidden="false" customHeight="true" outlineLevel="0" collapsed="false">
      <c r="A522" s="55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</row>
    <row r="523" customFormat="false" ht="15.75" hidden="false" customHeight="true" outlineLevel="0" collapsed="false">
      <c r="A523" s="55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</row>
    <row r="524" customFormat="false" ht="15.75" hidden="false" customHeight="true" outlineLevel="0" collapsed="false">
      <c r="A524" s="55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</row>
    <row r="525" customFormat="false" ht="15.75" hidden="false" customHeight="true" outlineLevel="0" collapsed="false">
      <c r="A525" s="55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</row>
    <row r="526" customFormat="false" ht="15.75" hidden="false" customHeight="true" outlineLevel="0" collapsed="false">
      <c r="A526" s="55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</row>
    <row r="527" customFormat="false" ht="15.75" hidden="false" customHeight="true" outlineLevel="0" collapsed="false">
      <c r="A527" s="55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</row>
    <row r="528" customFormat="false" ht="15.75" hidden="false" customHeight="true" outlineLevel="0" collapsed="false">
      <c r="A528" s="55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</row>
    <row r="529" customFormat="false" ht="15.75" hidden="false" customHeight="true" outlineLevel="0" collapsed="false">
      <c r="A529" s="55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</row>
    <row r="530" customFormat="false" ht="15.75" hidden="false" customHeight="true" outlineLevel="0" collapsed="false">
      <c r="A530" s="55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</row>
    <row r="531" customFormat="false" ht="15.75" hidden="false" customHeight="true" outlineLevel="0" collapsed="false">
      <c r="A531" s="55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</row>
    <row r="532" customFormat="false" ht="15.75" hidden="false" customHeight="true" outlineLevel="0" collapsed="false">
      <c r="A532" s="55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</row>
    <row r="533" customFormat="false" ht="15.75" hidden="false" customHeight="true" outlineLevel="0" collapsed="false">
      <c r="A533" s="55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</row>
    <row r="534" customFormat="false" ht="15.75" hidden="false" customHeight="true" outlineLevel="0" collapsed="false">
      <c r="A534" s="55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</row>
    <row r="535" customFormat="false" ht="15.75" hidden="false" customHeight="true" outlineLevel="0" collapsed="false">
      <c r="A535" s="55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</row>
    <row r="536" customFormat="false" ht="15.75" hidden="false" customHeight="true" outlineLevel="0" collapsed="false">
      <c r="A536" s="55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</row>
    <row r="537" customFormat="false" ht="15.75" hidden="false" customHeight="true" outlineLevel="0" collapsed="false">
      <c r="A537" s="55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</row>
    <row r="538" customFormat="false" ht="15.75" hidden="false" customHeight="true" outlineLevel="0" collapsed="false">
      <c r="A538" s="55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</row>
    <row r="539" customFormat="false" ht="15.75" hidden="false" customHeight="true" outlineLevel="0" collapsed="false">
      <c r="A539" s="55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</row>
    <row r="540" customFormat="false" ht="15.75" hidden="false" customHeight="true" outlineLevel="0" collapsed="false">
      <c r="A540" s="55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</row>
    <row r="541" customFormat="false" ht="15.75" hidden="false" customHeight="true" outlineLevel="0" collapsed="false">
      <c r="A541" s="55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</row>
    <row r="542" customFormat="false" ht="15.75" hidden="false" customHeight="true" outlineLevel="0" collapsed="false">
      <c r="A542" s="55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</row>
    <row r="543" customFormat="false" ht="15.75" hidden="false" customHeight="true" outlineLevel="0" collapsed="false">
      <c r="A543" s="55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</row>
    <row r="544" customFormat="false" ht="15.75" hidden="false" customHeight="true" outlineLevel="0" collapsed="false">
      <c r="A544" s="55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</row>
    <row r="545" customFormat="false" ht="15.75" hidden="false" customHeight="true" outlineLevel="0" collapsed="false">
      <c r="A545" s="55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</row>
    <row r="546" customFormat="false" ht="15.75" hidden="false" customHeight="true" outlineLevel="0" collapsed="false">
      <c r="A546" s="55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</row>
    <row r="547" customFormat="false" ht="15.75" hidden="false" customHeight="true" outlineLevel="0" collapsed="false">
      <c r="A547" s="55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</row>
    <row r="548" customFormat="false" ht="15.75" hidden="false" customHeight="true" outlineLevel="0" collapsed="false">
      <c r="A548" s="55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</row>
    <row r="549" customFormat="false" ht="15.75" hidden="false" customHeight="true" outlineLevel="0" collapsed="false">
      <c r="A549" s="55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</row>
    <row r="550" customFormat="false" ht="15.75" hidden="false" customHeight="true" outlineLevel="0" collapsed="false">
      <c r="A550" s="55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</row>
    <row r="551" customFormat="false" ht="15.75" hidden="false" customHeight="true" outlineLevel="0" collapsed="false">
      <c r="A551" s="55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</row>
    <row r="552" customFormat="false" ht="15.75" hidden="false" customHeight="true" outlineLevel="0" collapsed="false">
      <c r="A552" s="55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</row>
    <row r="553" customFormat="false" ht="15.75" hidden="false" customHeight="true" outlineLevel="0" collapsed="false">
      <c r="A553" s="55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</row>
    <row r="554" customFormat="false" ht="15.75" hidden="false" customHeight="true" outlineLevel="0" collapsed="false">
      <c r="A554" s="55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</row>
    <row r="555" customFormat="false" ht="15.75" hidden="false" customHeight="true" outlineLevel="0" collapsed="false">
      <c r="A555" s="55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</row>
    <row r="556" customFormat="false" ht="15.75" hidden="false" customHeight="true" outlineLevel="0" collapsed="false">
      <c r="A556" s="55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</row>
    <row r="557" customFormat="false" ht="15.75" hidden="false" customHeight="true" outlineLevel="0" collapsed="false">
      <c r="A557" s="55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</row>
    <row r="558" customFormat="false" ht="15.75" hidden="false" customHeight="true" outlineLevel="0" collapsed="false">
      <c r="A558" s="55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</row>
    <row r="559" customFormat="false" ht="15.75" hidden="false" customHeight="true" outlineLevel="0" collapsed="false">
      <c r="A559" s="55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</row>
    <row r="560" customFormat="false" ht="15.75" hidden="false" customHeight="true" outlineLevel="0" collapsed="false">
      <c r="A560" s="55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</row>
    <row r="561" customFormat="false" ht="15.75" hidden="false" customHeight="true" outlineLevel="0" collapsed="false">
      <c r="A561" s="55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</row>
    <row r="562" customFormat="false" ht="15.75" hidden="false" customHeight="true" outlineLevel="0" collapsed="false">
      <c r="A562" s="55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</row>
    <row r="563" customFormat="false" ht="15.75" hidden="false" customHeight="true" outlineLevel="0" collapsed="false">
      <c r="A563" s="55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</row>
    <row r="564" customFormat="false" ht="15.75" hidden="false" customHeight="true" outlineLevel="0" collapsed="false">
      <c r="A564" s="55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</row>
    <row r="565" customFormat="false" ht="15.75" hidden="false" customHeight="true" outlineLevel="0" collapsed="false">
      <c r="A565" s="55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</row>
    <row r="566" customFormat="false" ht="15.75" hidden="false" customHeight="true" outlineLevel="0" collapsed="false">
      <c r="A566" s="55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</row>
    <row r="567" customFormat="false" ht="15.75" hidden="false" customHeight="true" outlineLevel="0" collapsed="false">
      <c r="A567" s="55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</row>
    <row r="568" customFormat="false" ht="15.75" hidden="false" customHeight="true" outlineLevel="0" collapsed="false">
      <c r="A568" s="55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</row>
    <row r="569" customFormat="false" ht="15.75" hidden="false" customHeight="true" outlineLevel="0" collapsed="false">
      <c r="A569" s="55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</row>
    <row r="570" customFormat="false" ht="15.75" hidden="false" customHeight="true" outlineLevel="0" collapsed="false">
      <c r="A570" s="55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</row>
    <row r="571" customFormat="false" ht="15.75" hidden="false" customHeight="true" outlineLevel="0" collapsed="false">
      <c r="A571" s="55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</row>
    <row r="572" customFormat="false" ht="15.75" hidden="false" customHeight="true" outlineLevel="0" collapsed="false">
      <c r="A572" s="55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</row>
    <row r="573" customFormat="false" ht="15.75" hidden="false" customHeight="true" outlineLevel="0" collapsed="false">
      <c r="A573" s="55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</row>
    <row r="574" customFormat="false" ht="15.75" hidden="false" customHeight="true" outlineLevel="0" collapsed="false">
      <c r="A574" s="55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</row>
    <row r="575" customFormat="false" ht="15.75" hidden="false" customHeight="true" outlineLevel="0" collapsed="false">
      <c r="A575" s="55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</row>
    <row r="576" customFormat="false" ht="15.75" hidden="false" customHeight="true" outlineLevel="0" collapsed="false">
      <c r="A576" s="55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</row>
    <row r="577" customFormat="false" ht="15.75" hidden="false" customHeight="true" outlineLevel="0" collapsed="false">
      <c r="A577" s="55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</row>
    <row r="578" customFormat="false" ht="15.75" hidden="false" customHeight="true" outlineLevel="0" collapsed="false">
      <c r="A578" s="55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</row>
    <row r="579" customFormat="false" ht="15.75" hidden="false" customHeight="true" outlineLevel="0" collapsed="false">
      <c r="A579" s="55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</row>
    <row r="580" customFormat="false" ht="15.75" hidden="false" customHeight="true" outlineLevel="0" collapsed="false">
      <c r="A580" s="55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</row>
    <row r="581" customFormat="false" ht="15.75" hidden="false" customHeight="true" outlineLevel="0" collapsed="false">
      <c r="A581" s="55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</row>
    <row r="582" customFormat="false" ht="15.75" hidden="false" customHeight="true" outlineLevel="0" collapsed="false">
      <c r="A582" s="55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</row>
    <row r="583" customFormat="false" ht="15.75" hidden="false" customHeight="true" outlineLevel="0" collapsed="false">
      <c r="A583" s="55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</row>
    <row r="584" customFormat="false" ht="15.75" hidden="false" customHeight="true" outlineLevel="0" collapsed="false">
      <c r="A584" s="55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</row>
    <row r="585" customFormat="false" ht="15.75" hidden="false" customHeight="true" outlineLevel="0" collapsed="false">
      <c r="A585" s="55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</row>
    <row r="586" customFormat="false" ht="15.75" hidden="false" customHeight="true" outlineLevel="0" collapsed="false">
      <c r="A586" s="55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</row>
    <row r="587" customFormat="false" ht="15.75" hidden="false" customHeight="true" outlineLevel="0" collapsed="false">
      <c r="A587" s="55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</row>
    <row r="588" customFormat="false" ht="15.75" hidden="false" customHeight="true" outlineLevel="0" collapsed="false">
      <c r="A588" s="55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</row>
    <row r="589" customFormat="false" ht="15.75" hidden="false" customHeight="true" outlineLevel="0" collapsed="false">
      <c r="A589" s="55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</row>
    <row r="590" customFormat="false" ht="15.75" hidden="false" customHeight="true" outlineLevel="0" collapsed="false">
      <c r="A590" s="55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</row>
    <row r="591" customFormat="false" ht="15.75" hidden="false" customHeight="true" outlineLevel="0" collapsed="false">
      <c r="A591" s="55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</row>
    <row r="592" customFormat="false" ht="15.75" hidden="false" customHeight="true" outlineLevel="0" collapsed="false">
      <c r="A592" s="55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</row>
    <row r="593" customFormat="false" ht="15.75" hidden="false" customHeight="true" outlineLevel="0" collapsed="false">
      <c r="A593" s="55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</row>
    <row r="594" customFormat="false" ht="15.75" hidden="false" customHeight="true" outlineLevel="0" collapsed="false">
      <c r="A594" s="55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</row>
    <row r="595" customFormat="false" ht="15.75" hidden="false" customHeight="true" outlineLevel="0" collapsed="false">
      <c r="A595" s="55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</row>
    <row r="596" customFormat="false" ht="15.75" hidden="false" customHeight="true" outlineLevel="0" collapsed="false">
      <c r="A596" s="55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</row>
    <row r="597" customFormat="false" ht="15.75" hidden="false" customHeight="true" outlineLevel="0" collapsed="false">
      <c r="A597" s="55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</row>
    <row r="598" customFormat="false" ht="15.75" hidden="false" customHeight="true" outlineLevel="0" collapsed="false">
      <c r="A598" s="55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</row>
    <row r="599" customFormat="false" ht="15.75" hidden="false" customHeight="true" outlineLevel="0" collapsed="false">
      <c r="A599" s="55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</row>
    <row r="600" customFormat="false" ht="15.75" hidden="false" customHeight="true" outlineLevel="0" collapsed="false">
      <c r="A600" s="55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</row>
    <row r="601" customFormat="false" ht="15.75" hidden="false" customHeight="true" outlineLevel="0" collapsed="false">
      <c r="A601" s="55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</row>
    <row r="602" customFormat="false" ht="15.75" hidden="false" customHeight="true" outlineLevel="0" collapsed="false">
      <c r="A602" s="55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</row>
    <row r="603" customFormat="false" ht="15.75" hidden="false" customHeight="true" outlineLevel="0" collapsed="false">
      <c r="A603" s="55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</row>
    <row r="604" customFormat="false" ht="15.75" hidden="false" customHeight="true" outlineLevel="0" collapsed="false">
      <c r="A604" s="55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</row>
    <row r="605" customFormat="false" ht="15.75" hidden="false" customHeight="true" outlineLevel="0" collapsed="false">
      <c r="A605" s="55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</row>
    <row r="606" customFormat="false" ht="15.75" hidden="false" customHeight="true" outlineLevel="0" collapsed="false">
      <c r="A606" s="55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</row>
    <row r="607" customFormat="false" ht="15.75" hidden="false" customHeight="true" outlineLevel="0" collapsed="false">
      <c r="A607" s="55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</row>
    <row r="608" customFormat="false" ht="15.75" hidden="false" customHeight="true" outlineLevel="0" collapsed="false">
      <c r="A608" s="55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</row>
    <row r="609" customFormat="false" ht="15.75" hidden="false" customHeight="true" outlineLevel="0" collapsed="false">
      <c r="A609" s="55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</row>
    <row r="610" customFormat="false" ht="15.75" hidden="false" customHeight="true" outlineLevel="0" collapsed="false">
      <c r="A610" s="55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</row>
    <row r="611" customFormat="false" ht="15.75" hidden="false" customHeight="true" outlineLevel="0" collapsed="false">
      <c r="A611" s="55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</row>
    <row r="612" customFormat="false" ht="15.75" hidden="false" customHeight="true" outlineLevel="0" collapsed="false">
      <c r="A612" s="55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</row>
    <row r="613" customFormat="false" ht="15.75" hidden="false" customHeight="true" outlineLevel="0" collapsed="false">
      <c r="A613" s="55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</row>
    <row r="614" customFormat="false" ht="15.75" hidden="false" customHeight="true" outlineLevel="0" collapsed="false">
      <c r="A614" s="55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</row>
    <row r="615" customFormat="false" ht="15.75" hidden="false" customHeight="true" outlineLevel="0" collapsed="false">
      <c r="A615" s="55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</row>
    <row r="616" customFormat="false" ht="15.75" hidden="false" customHeight="true" outlineLevel="0" collapsed="false">
      <c r="A616" s="55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</row>
    <row r="617" customFormat="false" ht="15.75" hidden="false" customHeight="true" outlineLevel="0" collapsed="false">
      <c r="A617" s="55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</row>
    <row r="618" customFormat="false" ht="15.75" hidden="false" customHeight="true" outlineLevel="0" collapsed="false">
      <c r="A618" s="55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</row>
    <row r="619" customFormat="false" ht="15.75" hidden="false" customHeight="true" outlineLevel="0" collapsed="false">
      <c r="A619" s="55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</row>
    <row r="620" customFormat="false" ht="15.75" hidden="false" customHeight="true" outlineLevel="0" collapsed="false">
      <c r="A620" s="55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</row>
    <row r="621" customFormat="false" ht="15.75" hidden="false" customHeight="true" outlineLevel="0" collapsed="false">
      <c r="A621" s="55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</row>
    <row r="622" customFormat="false" ht="15.75" hidden="false" customHeight="true" outlineLevel="0" collapsed="false">
      <c r="A622" s="55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</row>
    <row r="623" customFormat="false" ht="15.75" hidden="false" customHeight="true" outlineLevel="0" collapsed="false">
      <c r="A623" s="55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</row>
    <row r="624" customFormat="false" ht="15.75" hidden="false" customHeight="true" outlineLevel="0" collapsed="false">
      <c r="A624" s="55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</row>
    <row r="625" customFormat="false" ht="15.75" hidden="false" customHeight="true" outlineLevel="0" collapsed="false">
      <c r="A625" s="55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</row>
    <row r="626" customFormat="false" ht="15.75" hidden="false" customHeight="true" outlineLevel="0" collapsed="false">
      <c r="A626" s="55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</row>
    <row r="627" customFormat="false" ht="15.75" hidden="false" customHeight="true" outlineLevel="0" collapsed="false">
      <c r="A627" s="55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</row>
    <row r="628" customFormat="false" ht="15.75" hidden="false" customHeight="true" outlineLevel="0" collapsed="false">
      <c r="A628" s="55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</row>
    <row r="629" customFormat="false" ht="15.75" hidden="false" customHeight="true" outlineLevel="0" collapsed="false">
      <c r="A629" s="55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</row>
    <row r="630" customFormat="false" ht="15.75" hidden="false" customHeight="true" outlineLevel="0" collapsed="false">
      <c r="A630" s="55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</row>
    <row r="631" customFormat="false" ht="15.75" hidden="false" customHeight="true" outlineLevel="0" collapsed="false">
      <c r="A631" s="55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</row>
    <row r="632" customFormat="false" ht="15.75" hidden="false" customHeight="true" outlineLevel="0" collapsed="false">
      <c r="A632" s="55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</row>
    <row r="633" customFormat="false" ht="15.75" hidden="false" customHeight="true" outlineLevel="0" collapsed="false">
      <c r="A633" s="55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</row>
    <row r="634" customFormat="false" ht="15.75" hidden="false" customHeight="true" outlineLevel="0" collapsed="false">
      <c r="A634" s="55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</row>
    <row r="635" customFormat="false" ht="15.75" hidden="false" customHeight="true" outlineLevel="0" collapsed="false">
      <c r="A635" s="55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</row>
    <row r="636" customFormat="false" ht="15.75" hidden="false" customHeight="true" outlineLevel="0" collapsed="false">
      <c r="A636" s="55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</row>
    <row r="637" customFormat="false" ht="15.75" hidden="false" customHeight="true" outlineLevel="0" collapsed="false">
      <c r="A637" s="55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</row>
    <row r="638" customFormat="false" ht="15.75" hidden="false" customHeight="true" outlineLevel="0" collapsed="false">
      <c r="A638" s="55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</row>
    <row r="639" customFormat="false" ht="15.75" hidden="false" customHeight="true" outlineLevel="0" collapsed="false">
      <c r="A639" s="55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</row>
    <row r="640" customFormat="false" ht="15.75" hidden="false" customHeight="true" outlineLevel="0" collapsed="false">
      <c r="A640" s="55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</row>
    <row r="641" customFormat="false" ht="15.75" hidden="false" customHeight="true" outlineLevel="0" collapsed="false">
      <c r="A641" s="55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</row>
    <row r="642" customFormat="false" ht="15.75" hidden="false" customHeight="true" outlineLevel="0" collapsed="false">
      <c r="A642" s="55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</row>
    <row r="643" customFormat="false" ht="15.75" hidden="false" customHeight="true" outlineLevel="0" collapsed="false">
      <c r="A643" s="55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</row>
    <row r="644" customFormat="false" ht="15.75" hidden="false" customHeight="true" outlineLevel="0" collapsed="false">
      <c r="A644" s="55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</row>
    <row r="645" customFormat="false" ht="15.75" hidden="false" customHeight="true" outlineLevel="0" collapsed="false">
      <c r="A645" s="55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</row>
    <row r="646" customFormat="false" ht="15.75" hidden="false" customHeight="true" outlineLevel="0" collapsed="false">
      <c r="A646" s="55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</row>
    <row r="647" customFormat="false" ht="15.75" hidden="false" customHeight="true" outlineLevel="0" collapsed="false">
      <c r="A647" s="55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</row>
    <row r="648" customFormat="false" ht="15.75" hidden="false" customHeight="true" outlineLevel="0" collapsed="false">
      <c r="A648" s="55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</row>
    <row r="649" customFormat="false" ht="15.75" hidden="false" customHeight="true" outlineLevel="0" collapsed="false">
      <c r="A649" s="55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</row>
    <row r="650" customFormat="false" ht="15.75" hidden="false" customHeight="true" outlineLevel="0" collapsed="false">
      <c r="A650" s="55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</row>
    <row r="651" customFormat="false" ht="15.75" hidden="false" customHeight="true" outlineLevel="0" collapsed="false">
      <c r="A651" s="55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</row>
    <row r="652" customFormat="false" ht="15.75" hidden="false" customHeight="true" outlineLevel="0" collapsed="false">
      <c r="A652" s="55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</row>
    <row r="653" customFormat="false" ht="15.75" hidden="false" customHeight="true" outlineLevel="0" collapsed="false">
      <c r="A653" s="55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</row>
    <row r="654" customFormat="false" ht="15.75" hidden="false" customHeight="true" outlineLevel="0" collapsed="false">
      <c r="A654" s="55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</row>
    <row r="655" customFormat="false" ht="15.75" hidden="false" customHeight="true" outlineLevel="0" collapsed="false">
      <c r="A655" s="55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</row>
    <row r="656" customFormat="false" ht="15.75" hidden="false" customHeight="true" outlineLevel="0" collapsed="false">
      <c r="A656" s="55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</row>
    <row r="657" customFormat="false" ht="15.75" hidden="false" customHeight="true" outlineLevel="0" collapsed="false">
      <c r="A657" s="55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</row>
    <row r="658" customFormat="false" ht="15.75" hidden="false" customHeight="true" outlineLevel="0" collapsed="false">
      <c r="A658" s="55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</row>
    <row r="659" customFormat="false" ht="15.75" hidden="false" customHeight="true" outlineLevel="0" collapsed="false">
      <c r="A659" s="55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</row>
    <row r="660" customFormat="false" ht="15.75" hidden="false" customHeight="true" outlineLevel="0" collapsed="false">
      <c r="A660" s="55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</row>
    <row r="661" customFormat="false" ht="15.75" hidden="false" customHeight="true" outlineLevel="0" collapsed="false">
      <c r="A661" s="55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</row>
    <row r="662" customFormat="false" ht="15.75" hidden="false" customHeight="true" outlineLevel="0" collapsed="false">
      <c r="A662" s="55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</row>
    <row r="663" customFormat="false" ht="15.75" hidden="false" customHeight="true" outlineLevel="0" collapsed="false">
      <c r="A663" s="55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</row>
    <row r="664" customFormat="false" ht="15.75" hidden="false" customHeight="true" outlineLevel="0" collapsed="false">
      <c r="A664" s="55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</row>
    <row r="665" customFormat="false" ht="15.75" hidden="false" customHeight="true" outlineLevel="0" collapsed="false">
      <c r="A665" s="55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</row>
    <row r="666" customFormat="false" ht="15.75" hidden="false" customHeight="true" outlineLevel="0" collapsed="false">
      <c r="A666" s="55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</row>
    <row r="667" customFormat="false" ht="15.75" hidden="false" customHeight="true" outlineLevel="0" collapsed="false">
      <c r="A667" s="55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</row>
    <row r="668" customFormat="false" ht="15.75" hidden="false" customHeight="true" outlineLevel="0" collapsed="false">
      <c r="A668" s="55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</row>
    <row r="669" customFormat="false" ht="15.75" hidden="false" customHeight="true" outlineLevel="0" collapsed="false">
      <c r="A669" s="55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</row>
    <row r="670" customFormat="false" ht="15.75" hidden="false" customHeight="true" outlineLevel="0" collapsed="false">
      <c r="A670" s="55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</row>
    <row r="671" customFormat="false" ht="15.75" hidden="false" customHeight="true" outlineLevel="0" collapsed="false">
      <c r="A671" s="55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</row>
    <row r="672" customFormat="false" ht="15.75" hidden="false" customHeight="true" outlineLevel="0" collapsed="false">
      <c r="A672" s="55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</row>
    <row r="673" customFormat="false" ht="15.75" hidden="false" customHeight="true" outlineLevel="0" collapsed="false">
      <c r="A673" s="55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</row>
    <row r="674" customFormat="false" ht="15.75" hidden="false" customHeight="true" outlineLevel="0" collapsed="false">
      <c r="A674" s="55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</row>
    <row r="675" customFormat="false" ht="15.75" hidden="false" customHeight="true" outlineLevel="0" collapsed="false">
      <c r="A675" s="55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</row>
    <row r="676" customFormat="false" ht="15.75" hidden="false" customHeight="true" outlineLevel="0" collapsed="false">
      <c r="A676" s="55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</row>
    <row r="677" customFormat="false" ht="15.75" hidden="false" customHeight="true" outlineLevel="0" collapsed="false">
      <c r="A677" s="55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</row>
    <row r="678" customFormat="false" ht="15.75" hidden="false" customHeight="true" outlineLevel="0" collapsed="false">
      <c r="A678" s="55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</row>
    <row r="679" customFormat="false" ht="15.75" hidden="false" customHeight="true" outlineLevel="0" collapsed="false">
      <c r="A679" s="55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</row>
    <row r="680" customFormat="false" ht="15.75" hidden="false" customHeight="true" outlineLevel="0" collapsed="false">
      <c r="A680" s="55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</row>
    <row r="681" customFormat="false" ht="15.75" hidden="false" customHeight="true" outlineLevel="0" collapsed="false">
      <c r="A681" s="55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</row>
    <row r="682" customFormat="false" ht="15.75" hidden="false" customHeight="true" outlineLevel="0" collapsed="false">
      <c r="A682" s="55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</row>
    <row r="683" customFormat="false" ht="15.75" hidden="false" customHeight="true" outlineLevel="0" collapsed="false">
      <c r="A683" s="55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</row>
    <row r="684" customFormat="false" ht="15.75" hidden="false" customHeight="true" outlineLevel="0" collapsed="false">
      <c r="A684" s="55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</row>
    <row r="685" customFormat="false" ht="15.75" hidden="false" customHeight="true" outlineLevel="0" collapsed="false">
      <c r="A685" s="55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</row>
    <row r="686" customFormat="false" ht="15.75" hidden="false" customHeight="true" outlineLevel="0" collapsed="false">
      <c r="A686" s="55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</row>
    <row r="687" customFormat="false" ht="15.75" hidden="false" customHeight="true" outlineLevel="0" collapsed="false">
      <c r="A687" s="55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</row>
    <row r="688" customFormat="false" ht="15.75" hidden="false" customHeight="true" outlineLevel="0" collapsed="false">
      <c r="A688" s="55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</row>
    <row r="689" customFormat="false" ht="15.75" hidden="false" customHeight="true" outlineLevel="0" collapsed="false">
      <c r="A689" s="55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</row>
    <row r="690" customFormat="false" ht="15.75" hidden="false" customHeight="true" outlineLevel="0" collapsed="false">
      <c r="A690" s="55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</row>
    <row r="691" customFormat="false" ht="15.75" hidden="false" customHeight="true" outlineLevel="0" collapsed="false">
      <c r="A691" s="55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</row>
    <row r="692" customFormat="false" ht="15.75" hidden="false" customHeight="true" outlineLevel="0" collapsed="false">
      <c r="A692" s="55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</row>
    <row r="693" customFormat="false" ht="15.75" hidden="false" customHeight="true" outlineLevel="0" collapsed="false">
      <c r="A693" s="55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</row>
    <row r="694" customFormat="false" ht="15.75" hidden="false" customHeight="true" outlineLevel="0" collapsed="false">
      <c r="A694" s="55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</row>
    <row r="695" customFormat="false" ht="15.75" hidden="false" customHeight="true" outlineLevel="0" collapsed="false">
      <c r="A695" s="55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</row>
    <row r="696" customFormat="false" ht="15.75" hidden="false" customHeight="true" outlineLevel="0" collapsed="false">
      <c r="A696" s="55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</row>
    <row r="697" customFormat="false" ht="15.75" hidden="false" customHeight="true" outlineLevel="0" collapsed="false">
      <c r="A697" s="55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</row>
    <row r="698" customFormat="false" ht="15.75" hidden="false" customHeight="true" outlineLevel="0" collapsed="false">
      <c r="A698" s="55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</row>
    <row r="699" customFormat="false" ht="15.75" hidden="false" customHeight="true" outlineLevel="0" collapsed="false">
      <c r="A699" s="55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</row>
    <row r="700" customFormat="false" ht="15.75" hidden="false" customHeight="true" outlineLevel="0" collapsed="false">
      <c r="A700" s="55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</row>
    <row r="701" customFormat="false" ht="15.75" hidden="false" customHeight="true" outlineLevel="0" collapsed="false">
      <c r="A701" s="55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</row>
    <row r="702" customFormat="false" ht="15.75" hidden="false" customHeight="true" outlineLevel="0" collapsed="false">
      <c r="A702" s="55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</row>
    <row r="703" customFormat="false" ht="15.75" hidden="false" customHeight="true" outlineLevel="0" collapsed="false">
      <c r="A703" s="55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</row>
    <row r="704" customFormat="false" ht="15.75" hidden="false" customHeight="true" outlineLevel="0" collapsed="false">
      <c r="A704" s="55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</row>
    <row r="705" customFormat="false" ht="15.75" hidden="false" customHeight="true" outlineLevel="0" collapsed="false">
      <c r="A705" s="55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</row>
    <row r="706" customFormat="false" ht="15.75" hidden="false" customHeight="true" outlineLevel="0" collapsed="false">
      <c r="A706" s="55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</row>
    <row r="707" customFormat="false" ht="15.75" hidden="false" customHeight="true" outlineLevel="0" collapsed="false">
      <c r="A707" s="55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</row>
    <row r="708" customFormat="false" ht="15.75" hidden="false" customHeight="true" outlineLevel="0" collapsed="false">
      <c r="A708" s="55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</row>
    <row r="709" customFormat="false" ht="15.75" hidden="false" customHeight="true" outlineLevel="0" collapsed="false">
      <c r="A709" s="55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</row>
    <row r="710" customFormat="false" ht="15.75" hidden="false" customHeight="true" outlineLevel="0" collapsed="false">
      <c r="A710" s="55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</row>
    <row r="711" customFormat="false" ht="15.75" hidden="false" customHeight="true" outlineLevel="0" collapsed="false">
      <c r="A711" s="55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</row>
    <row r="712" customFormat="false" ht="15.75" hidden="false" customHeight="true" outlineLevel="0" collapsed="false">
      <c r="A712" s="55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</row>
    <row r="713" customFormat="false" ht="15.75" hidden="false" customHeight="true" outlineLevel="0" collapsed="false">
      <c r="A713" s="55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</row>
    <row r="714" customFormat="false" ht="15.75" hidden="false" customHeight="true" outlineLevel="0" collapsed="false">
      <c r="A714" s="55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</row>
    <row r="715" customFormat="false" ht="15.75" hidden="false" customHeight="true" outlineLevel="0" collapsed="false">
      <c r="A715" s="55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</row>
    <row r="716" customFormat="false" ht="15.75" hidden="false" customHeight="true" outlineLevel="0" collapsed="false">
      <c r="A716" s="55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</row>
    <row r="717" customFormat="false" ht="15.75" hidden="false" customHeight="true" outlineLevel="0" collapsed="false">
      <c r="A717" s="55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</row>
    <row r="718" customFormat="false" ht="15.75" hidden="false" customHeight="true" outlineLevel="0" collapsed="false">
      <c r="A718" s="55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</row>
    <row r="719" customFormat="false" ht="15.75" hidden="false" customHeight="true" outlineLevel="0" collapsed="false">
      <c r="A719" s="55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</row>
    <row r="720" customFormat="false" ht="15.75" hidden="false" customHeight="true" outlineLevel="0" collapsed="false">
      <c r="A720" s="55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</row>
    <row r="721" customFormat="false" ht="15.75" hidden="false" customHeight="true" outlineLevel="0" collapsed="false">
      <c r="A721" s="55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</row>
    <row r="722" customFormat="false" ht="15.75" hidden="false" customHeight="true" outlineLevel="0" collapsed="false">
      <c r="A722" s="55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</row>
    <row r="723" customFormat="false" ht="15.75" hidden="false" customHeight="true" outlineLevel="0" collapsed="false">
      <c r="A723" s="55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</row>
    <row r="724" customFormat="false" ht="15.75" hidden="false" customHeight="true" outlineLevel="0" collapsed="false">
      <c r="A724" s="55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</row>
    <row r="725" customFormat="false" ht="15.75" hidden="false" customHeight="true" outlineLevel="0" collapsed="false">
      <c r="A725" s="55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</row>
    <row r="726" customFormat="false" ht="15.75" hidden="false" customHeight="true" outlineLevel="0" collapsed="false">
      <c r="A726" s="55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</row>
    <row r="727" customFormat="false" ht="15.75" hidden="false" customHeight="true" outlineLevel="0" collapsed="false">
      <c r="A727" s="55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</row>
    <row r="728" customFormat="false" ht="15.75" hidden="false" customHeight="true" outlineLevel="0" collapsed="false">
      <c r="A728" s="55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</row>
    <row r="729" customFormat="false" ht="15.75" hidden="false" customHeight="true" outlineLevel="0" collapsed="false">
      <c r="A729" s="55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</row>
    <row r="730" customFormat="false" ht="15.75" hidden="false" customHeight="true" outlineLevel="0" collapsed="false">
      <c r="A730" s="55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</row>
    <row r="731" customFormat="false" ht="15.75" hidden="false" customHeight="true" outlineLevel="0" collapsed="false">
      <c r="A731" s="55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</row>
    <row r="732" customFormat="false" ht="15.75" hidden="false" customHeight="true" outlineLevel="0" collapsed="false">
      <c r="A732" s="55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</row>
    <row r="733" customFormat="false" ht="15.75" hidden="false" customHeight="true" outlineLevel="0" collapsed="false">
      <c r="A733" s="55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</row>
    <row r="734" customFormat="false" ht="15.75" hidden="false" customHeight="true" outlineLevel="0" collapsed="false">
      <c r="A734" s="55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</row>
    <row r="735" customFormat="false" ht="15.75" hidden="false" customHeight="true" outlineLevel="0" collapsed="false">
      <c r="A735" s="55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</row>
    <row r="736" customFormat="false" ht="15.75" hidden="false" customHeight="true" outlineLevel="0" collapsed="false">
      <c r="A736" s="55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</row>
    <row r="737" customFormat="false" ht="15.75" hidden="false" customHeight="true" outlineLevel="0" collapsed="false">
      <c r="A737" s="55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</row>
    <row r="738" customFormat="false" ht="15.75" hidden="false" customHeight="true" outlineLevel="0" collapsed="false">
      <c r="A738" s="55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</row>
    <row r="739" customFormat="false" ht="15.75" hidden="false" customHeight="true" outlineLevel="0" collapsed="false">
      <c r="A739" s="55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</row>
    <row r="740" customFormat="false" ht="15.75" hidden="false" customHeight="true" outlineLevel="0" collapsed="false">
      <c r="A740" s="55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</row>
    <row r="741" customFormat="false" ht="15.75" hidden="false" customHeight="true" outlineLevel="0" collapsed="false">
      <c r="A741" s="55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</row>
    <row r="742" customFormat="false" ht="15.75" hidden="false" customHeight="true" outlineLevel="0" collapsed="false">
      <c r="A742" s="55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</row>
    <row r="743" customFormat="false" ht="15.75" hidden="false" customHeight="true" outlineLevel="0" collapsed="false">
      <c r="A743" s="55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</row>
    <row r="744" customFormat="false" ht="15.75" hidden="false" customHeight="true" outlineLevel="0" collapsed="false">
      <c r="A744" s="55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</row>
    <row r="745" customFormat="false" ht="15.75" hidden="false" customHeight="true" outlineLevel="0" collapsed="false">
      <c r="A745" s="55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</row>
    <row r="746" customFormat="false" ht="15.75" hidden="false" customHeight="true" outlineLevel="0" collapsed="false">
      <c r="A746" s="55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</row>
    <row r="747" customFormat="false" ht="15.75" hidden="false" customHeight="true" outlineLevel="0" collapsed="false">
      <c r="A747" s="55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</row>
    <row r="748" customFormat="false" ht="15.75" hidden="false" customHeight="true" outlineLevel="0" collapsed="false">
      <c r="A748" s="55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</row>
    <row r="749" customFormat="false" ht="15.75" hidden="false" customHeight="true" outlineLevel="0" collapsed="false">
      <c r="A749" s="55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</row>
    <row r="750" customFormat="false" ht="15.75" hidden="false" customHeight="true" outlineLevel="0" collapsed="false">
      <c r="A750" s="55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</row>
    <row r="751" customFormat="false" ht="15.75" hidden="false" customHeight="true" outlineLevel="0" collapsed="false">
      <c r="A751" s="55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</row>
    <row r="752" customFormat="false" ht="15.75" hidden="false" customHeight="true" outlineLevel="0" collapsed="false">
      <c r="A752" s="55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</row>
    <row r="753" customFormat="false" ht="15.75" hidden="false" customHeight="true" outlineLevel="0" collapsed="false">
      <c r="A753" s="55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</row>
    <row r="754" customFormat="false" ht="15.75" hidden="false" customHeight="true" outlineLevel="0" collapsed="false">
      <c r="A754" s="55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</row>
    <row r="755" customFormat="false" ht="15.75" hidden="false" customHeight="true" outlineLevel="0" collapsed="false">
      <c r="A755" s="55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</row>
    <row r="756" customFormat="false" ht="15.75" hidden="false" customHeight="true" outlineLevel="0" collapsed="false">
      <c r="A756" s="55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</row>
    <row r="757" customFormat="false" ht="15.75" hidden="false" customHeight="true" outlineLevel="0" collapsed="false">
      <c r="A757" s="55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</row>
    <row r="758" customFormat="false" ht="15.75" hidden="false" customHeight="true" outlineLevel="0" collapsed="false">
      <c r="A758" s="55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</row>
    <row r="759" customFormat="false" ht="15.75" hidden="false" customHeight="true" outlineLevel="0" collapsed="false">
      <c r="A759" s="55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</row>
    <row r="760" customFormat="false" ht="15.75" hidden="false" customHeight="true" outlineLevel="0" collapsed="false">
      <c r="A760" s="55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</row>
    <row r="761" customFormat="false" ht="15.75" hidden="false" customHeight="true" outlineLevel="0" collapsed="false">
      <c r="A761" s="55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</row>
    <row r="762" customFormat="false" ht="15.75" hidden="false" customHeight="true" outlineLevel="0" collapsed="false">
      <c r="A762" s="55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</row>
    <row r="763" customFormat="false" ht="15.75" hidden="false" customHeight="true" outlineLevel="0" collapsed="false">
      <c r="A763" s="55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</row>
    <row r="764" customFormat="false" ht="15.75" hidden="false" customHeight="true" outlineLevel="0" collapsed="false">
      <c r="A764" s="55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</row>
    <row r="765" customFormat="false" ht="15.75" hidden="false" customHeight="true" outlineLevel="0" collapsed="false">
      <c r="A765" s="55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</row>
    <row r="766" customFormat="false" ht="15.75" hidden="false" customHeight="true" outlineLevel="0" collapsed="false">
      <c r="A766" s="55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</row>
    <row r="767" customFormat="false" ht="15.75" hidden="false" customHeight="true" outlineLevel="0" collapsed="false">
      <c r="A767" s="55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</row>
    <row r="768" customFormat="false" ht="15.75" hidden="false" customHeight="true" outlineLevel="0" collapsed="false">
      <c r="A768" s="55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</row>
    <row r="769" customFormat="false" ht="15.75" hidden="false" customHeight="true" outlineLevel="0" collapsed="false">
      <c r="A769" s="55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</row>
    <row r="770" customFormat="false" ht="15.75" hidden="false" customHeight="true" outlineLevel="0" collapsed="false">
      <c r="A770" s="55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</row>
    <row r="771" customFormat="false" ht="15.75" hidden="false" customHeight="true" outlineLevel="0" collapsed="false">
      <c r="A771" s="55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</row>
    <row r="772" customFormat="false" ht="15.75" hidden="false" customHeight="true" outlineLevel="0" collapsed="false">
      <c r="A772" s="55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</row>
    <row r="773" customFormat="false" ht="15.75" hidden="false" customHeight="true" outlineLevel="0" collapsed="false">
      <c r="A773" s="55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</row>
    <row r="774" customFormat="false" ht="15.75" hidden="false" customHeight="true" outlineLevel="0" collapsed="false">
      <c r="A774" s="55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</row>
    <row r="775" customFormat="false" ht="15.75" hidden="false" customHeight="true" outlineLevel="0" collapsed="false">
      <c r="A775" s="55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</row>
    <row r="776" customFormat="false" ht="15.75" hidden="false" customHeight="true" outlineLevel="0" collapsed="false">
      <c r="A776" s="55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</row>
    <row r="777" customFormat="false" ht="15.75" hidden="false" customHeight="true" outlineLevel="0" collapsed="false">
      <c r="A777" s="55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</row>
    <row r="778" customFormat="false" ht="15.75" hidden="false" customHeight="true" outlineLevel="0" collapsed="false">
      <c r="A778" s="55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</row>
    <row r="779" customFormat="false" ht="15.75" hidden="false" customHeight="true" outlineLevel="0" collapsed="false">
      <c r="A779" s="55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</row>
    <row r="780" customFormat="false" ht="15.75" hidden="false" customHeight="true" outlineLevel="0" collapsed="false">
      <c r="A780" s="55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</row>
    <row r="781" customFormat="false" ht="15.75" hidden="false" customHeight="true" outlineLevel="0" collapsed="false">
      <c r="A781" s="55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</row>
    <row r="782" customFormat="false" ht="15.75" hidden="false" customHeight="true" outlineLevel="0" collapsed="false">
      <c r="A782" s="55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</row>
    <row r="783" customFormat="false" ht="15.75" hidden="false" customHeight="true" outlineLevel="0" collapsed="false">
      <c r="A783" s="55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</row>
    <row r="784" customFormat="false" ht="15.75" hidden="false" customHeight="true" outlineLevel="0" collapsed="false">
      <c r="A784" s="55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</row>
    <row r="785" customFormat="false" ht="15.75" hidden="false" customHeight="true" outlineLevel="0" collapsed="false">
      <c r="A785" s="55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</row>
    <row r="786" customFormat="false" ht="15.75" hidden="false" customHeight="true" outlineLevel="0" collapsed="false">
      <c r="A786" s="55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</row>
    <row r="787" customFormat="false" ht="15.75" hidden="false" customHeight="true" outlineLevel="0" collapsed="false">
      <c r="A787" s="55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</row>
    <row r="788" customFormat="false" ht="15.75" hidden="false" customHeight="true" outlineLevel="0" collapsed="false">
      <c r="A788" s="55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</row>
    <row r="789" customFormat="false" ht="15.75" hidden="false" customHeight="true" outlineLevel="0" collapsed="false">
      <c r="A789" s="55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</row>
    <row r="790" customFormat="false" ht="15.75" hidden="false" customHeight="true" outlineLevel="0" collapsed="false">
      <c r="A790" s="55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</row>
    <row r="791" customFormat="false" ht="15.75" hidden="false" customHeight="true" outlineLevel="0" collapsed="false">
      <c r="A791" s="55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</row>
    <row r="792" customFormat="false" ht="15.75" hidden="false" customHeight="true" outlineLevel="0" collapsed="false">
      <c r="A792" s="55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</row>
    <row r="793" customFormat="false" ht="15.75" hidden="false" customHeight="true" outlineLevel="0" collapsed="false">
      <c r="A793" s="55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</row>
    <row r="794" customFormat="false" ht="15.75" hidden="false" customHeight="true" outlineLevel="0" collapsed="false">
      <c r="A794" s="55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</row>
    <row r="795" customFormat="false" ht="15.75" hidden="false" customHeight="true" outlineLevel="0" collapsed="false">
      <c r="A795" s="55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</row>
    <row r="796" customFormat="false" ht="15.75" hidden="false" customHeight="true" outlineLevel="0" collapsed="false">
      <c r="A796" s="55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</row>
    <row r="797" customFormat="false" ht="15.75" hidden="false" customHeight="true" outlineLevel="0" collapsed="false">
      <c r="A797" s="55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</row>
    <row r="798" customFormat="false" ht="15.75" hidden="false" customHeight="true" outlineLevel="0" collapsed="false">
      <c r="A798" s="55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</row>
    <row r="799" customFormat="false" ht="15.75" hidden="false" customHeight="true" outlineLevel="0" collapsed="false">
      <c r="A799" s="55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</row>
    <row r="800" customFormat="false" ht="15.75" hidden="false" customHeight="true" outlineLevel="0" collapsed="false">
      <c r="A800" s="55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</row>
    <row r="801" customFormat="false" ht="15.75" hidden="false" customHeight="true" outlineLevel="0" collapsed="false">
      <c r="A801" s="55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</row>
    <row r="802" customFormat="false" ht="15.75" hidden="false" customHeight="true" outlineLevel="0" collapsed="false">
      <c r="A802" s="55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</row>
    <row r="803" customFormat="false" ht="15.75" hidden="false" customHeight="true" outlineLevel="0" collapsed="false">
      <c r="A803" s="55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</row>
    <row r="804" customFormat="false" ht="15.75" hidden="false" customHeight="true" outlineLevel="0" collapsed="false">
      <c r="A804" s="55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</row>
    <row r="805" customFormat="false" ht="15.75" hidden="false" customHeight="true" outlineLevel="0" collapsed="false">
      <c r="A805" s="55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</row>
    <row r="806" customFormat="false" ht="15.75" hidden="false" customHeight="true" outlineLevel="0" collapsed="false">
      <c r="A806" s="55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</row>
    <row r="807" customFormat="false" ht="15.75" hidden="false" customHeight="true" outlineLevel="0" collapsed="false">
      <c r="A807" s="55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</row>
    <row r="808" customFormat="false" ht="15.75" hidden="false" customHeight="true" outlineLevel="0" collapsed="false">
      <c r="A808" s="55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</row>
    <row r="809" customFormat="false" ht="15.75" hidden="false" customHeight="true" outlineLevel="0" collapsed="false">
      <c r="A809" s="55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</row>
    <row r="810" customFormat="false" ht="15.75" hidden="false" customHeight="true" outlineLevel="0" collapsed="false">
      <c r="A810" s="55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</row>
    <row r="811" customFormat="false" ht="15.75" hidden="false" customHeight="true" outlineLevel="0" collapsed="false">
      <c r="A811" s="55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</row>
    <row r="812" customFormat="false" ht="15.75" hidden="false" customHeight="true" outlineLevel="0" collapsed="false">
      <c r="A812" s="55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</row>
    <row r="813" customFormat="false" ht="15.75" hidden="false" customHeight="true" outlineLevel="0" collapsed="false">
      <c r="A813" s="55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</row>
    <row r="814" customFormat="false" ht="15.75" hidden="false" customHeight="true" outlineLevel="0" collapsed="false">
      <c r="A814" s="55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</row>
    <row r="815" customFormat="false" ht="15.75" hidden="false" customHeight="true" outlineLevel="0" collapsed="false">
      <c r="A815" s="55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</row>
    <row r="816" customFormat="false" ht="15.75" hidden="false" customHeight="true" outlineLevel="0" collapsed="false">
      <c r="A816" s="55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</row>
    <row r="817" customFormat="false" ht="15.75" hidden="false" customHeight="true" outlineLevel="0" collapsed="false">
      <c r="A817" s="55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</row>
    <row r="818" customFormat="false" ht="15.75" hidden="false" customHeight="true" outlineLevel="0" collapsed="false">
      <c r="A818" s="55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</row>
    <row r="819" customFormat="false" ht="15.75" hidden="false" customHeight="true" outlineLevel="0" collapsed="false">
      <c r="A819" s="55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</row>
    <row r="820" customFormat="false" ht="15.75" hidden="false" customHeight="true" outlineLevel="0" collapsed="false">
      <c r="A820" s="55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</row>
    <row r="821" customFormat="false" ht="15.75" hidden="false" customHeight="true" outlineLevel="0" collapsed="false">
      <c r="A821" s="55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</row>
    <row r="822" customFormat="false" ht="15.75" hidden="false" customHeight="true" outlineLevel="0" collapsed="false">
      <c r="A822" s="55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</row>
    <row r="823" customFormat="false" ht="15.75" hidden="false" customHeight="true" outlineLevel="0" collapsed="false">
      <c r="A823" s="55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</row>
    <row r="824" customFormat="false" ht="15.75" hidden="false" customHeight="true" outlineLevel="0" collapsed="false">
      <c r="A824" s="55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</row>
    <row r="825" customFormat="false" ht="15.75" hidden="false" customHeight="true" outlineLevel="0" collapsed="false">
      <c r="A825" s="55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</row>
    <row r="826" customFormat="false" ht="15.75" hidden="false" customHeight="true" outlineLevel="0" collapsed="false">
      <c r="A826" s="55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</row>
    <row r="827" customFormat="false" ht="15.75" hidden="false" customHeight="true" outlineLevel="0" collapsed="false">
      <c r="A827" s="55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</row>
    <row r="828" customFormat="false" ht="15.75" hidden="false" customHeight="true" outlineLevel="0" collapsed="false">
      <c r="A828" s="55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</row>
    <row r="829" customFormat="false" ht="15.75" hidden="false" customHeight="true" outlineLevel="0" collapsed="false">
      <c r="A829" s="55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</row>
    <row r="830" customFormat="false" ht="15.75" hidden="false" customHeight="true" outlineLevel="0" collapsed="false">
      <c r="A830" s="55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</row>
    <row r="831" customFormat="false" ht="15.75" hidden="false" customHeight="true" outlineLevel="0" collapsed="false">
      <c r="A831" s="55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</row>
    <row r="832" customFormat="false" ht="15.75" hidden="false" customHeight="true" outlineLevel="0" collapsed="false">
      <c r="A832" s="55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</row>
    <row r="833" customFormat="false" ht="15.75" hidden="false" customHeight="true" outlineLevel="0" collapsed="false">
      <c r="A833" s="55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</row>
    <row r="834" customFormat="false" ht="15.75" hidden="false" customHeight="true" outlineLevel="0" collapsed="false">
      <c r="A834" s="55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</row>
    <row r="835" customFormat="false" ht="15.75" hidden="false" customHeight="true" outlineLevel="0" collapsed="false">
      <c r="A835" s="55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</row>
    <row r="836" customFormat="false" ht="15.75" hidden="false" customHeight="true" outlineLevel="0" collapsed="false">
      <c r="A836" s="55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</row>
    <row r="837" customFormat="false" ht="15.75" hidden="false" customHeight="true" outlineLevel="0" collapsed="false">
      <c r="A837" s="55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</row>
    <row r="838" customFormat="false" ht="15.75" hidden="false" customHeight="true" outlineLevel="0" collapsed="false">
      <c r="A838" s="55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</row>
    <row r="839" customFormat="false" ht="15.75" hidden="false" customHeight="true" outlineLevel="0" collapsed="false">
      <c r="A839" s="55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</row>
    <row r="840" customFormat="false" ht="15.75" hidden="false" customHeight="true" outlineLevel="0" collapsed="false">
      <c r="A840" s="55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</row>
    <row r="841" customFormat="false" ht="15.75" hidden="false" customHeight="true" outlineLevel="0" collapsed="false">
      <c r="A841" s="55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</row>
    <row r="842" customFormat="false" ht="15.75" hidden="false" customHeight="true" outlineLevel="0" collapsed="false">
      <c r="A842" s="55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</row>
    <row r="843" customFormat="false" ht="15.75" hidden="false" customHeight="true" outlineLevel="0" collapsed="false">
      <c r="A843" s="55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</row>
    <row r="844" customFormat="false" ht="15.75" hidden="false" customHeight="true" outlineLevel="0" collapsed="false">
      <c r="A844" s="55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</row>
    <row r="845" customFormat="false" ht="15.75" hidden="false" customHeight="true" outlineLevel="0" collapsed="false">
      <c r="A845" s="55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</row>
    <row r="846" customFormat="false" ht="15.75" hidden="false" customHeight="true" outlineLevel="0" collapsed="false">
      <c r="A846" s="55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</row>
    <row r="847" customFormat="false" ht="15.75" hidden="false" customHeight="true" outlineLevel="0" collapsed="false">
      <c r="A847" s="55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</row>
    <row r="848" customFormat="false" ht="15.75" hidden="false" customHeight="true" outlineLevel="0" collapsed="false">
      <c r="A848" s="55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</row>
    <row r="849" customFormat="false" ht="15.75" hidden="false" customHeight="true" outlineLevel="0" collapsed="false">
      <c r="A849" s="55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</row>
    <row r="850" customFormat="false" ht="15.75" hidden="false" customHeight="true" outlineLevel="0" collapsed="false">
      <c r="A850" s="55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</row>
    <row r="851" customFormat="false" ht="15.75" hidden="false" customHeight="true" outlineLevel="0" collapsed="false">
      <c r="A851" s="55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</row>
    <row r="852" customFormat="false" ht="15.75" hidden="false" customHeight="true" outlineLevel="0" collapsed="false">
      <c r="A852" s="55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</row>
    <row r="853" customFormat="false" ht="15.75" hidden="false" customHeight="true" outlineLevel="0" collapsed="false">
      <c r="A853" s="55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</row>
    <row r="854" customFormat="false" ht="15.75" hidden="false" customHeight="true" outlineLevel="0" collapsed="false">
      <c r="A854" s="55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</row>
    <row r="855" customFormat="false" ht="15.75" hidden="false" customHeight="true" outlineLevel="0" collapsed="false">
      <c r="A855" s="55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</row>
    <row r="856" customFormat="false" ht="15.75" hidden="false" customHeight="true" outlineLevel="0" collapsed="false">
      <c r="A856" s="55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</row>
    <row r="857" customFormat="false" ht="15.75" hidden="false" customHeight="true" outlineLevel="0" collapsed="false">
      <c r="A857" s="55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</row>
    <row r="858" customFormat="false" ht="15.75" hidden="false" customHeight="true" outlineLevel="0" collapsed="false">
      <c r="A858" s="55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</row>
    <row r="859" customFormat="false" ht="15.75" hidden="false" customHeight="true" outlineLevel="0" collapsed="false">
      <c r="A859" s="55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</row>
    <row r="860" customFormat="false" ht="15.75" hidden="false" customHeight="true" outlineLevel="0" collapsed="false">
      <c r="A860" s="55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</row>
    <row r="861" customFormat="false" ht="15.75" hidden="false" customHeight="true" outlineLevel="0" collapsed="false">
      <c r="A861" s="55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</row>
    <row r="862" customFormat="false" ht="15.75" hidden="false" customHeight="true" outlineLevel="0" collapsed="false">
      <c r="A862" s="55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</row>
    <row r="863" customFormat="false" ht="15.75" hidden="false" customHeight="true" outlineLevel="0" collapsed="false">
      <c r="A863" s="55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</row>
    <row r="864" customFormat="false" ht="15.75" hidden="false" customHeight="true" outlineLevel="0" collapsed="false">
      <c r="A864" s="55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</row>
    <row r="865" customFormat="false" ht="15.75" hidden="false" customHeight="true" outlineLevel="0" collapsed="false">
      <c r="A865" s="55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</row>
    <row r="866" customFormat="false" ht="15.75" hidden="false" customHeight="true" outlineLevel="0" collapsed="false">
      <c r="A866" s="55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</row>
    <row r="867" customFormat="false" ht="15.75" hidden="false" customHeight="true" outlineLevel="0" collapsed="false">
      <c r="A867" s="55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</row>
    <row r="868" customFormat="false" ht="15.75" hidden="false" customHeight="true" outlineLevel="0" collapsed="false">
      <c r="A868" s="55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</row>
    <row r="869" customFormat="false" ht="15.75" hidden="false" customHeight="true" outlineLevel="0" collapsed="false">
      <c r="A869" s="55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</row>
    <row r="870" customFormat="false" ht="15.75" hidden="false" customHeight="true" outlineLevel="0" collapsed="false">
      <c r="A870" s="55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</row>
    <row r="871" customFormat="false" ht="15.75" hidden="false" customHeight="true" outlineLevel="0" collapsed="false">
      <c r="A871" s="55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</row>
    <row r="872" customFormat="false" ht="15.75" hidden="false" customHeight="true" outlineLevel="0" collapsed="false">
      <c r="A872" s="55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</row>
    <row r="873" customFormat="false" ht="15.75" hidden="false" customHeight="true" outlineLevel="0" collapsed="false">
      <c r="A873" s="55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</row>
    <row r="874" customFormat="false" ht="15.75" hidden="false" customHeight="true" outlineLevel="0" collapsed="false">
      <c r="A874" s="55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</row>
    <row r="875" customFormat="false" ht="15.75" hidden="false" customHeight="true" outlineLevel="0" collapsed="false">
      <c r="A875" s="55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</row>
    <row r="876" customFormat="false" ht="15.75" hidden="false" customHeight="true" outlineLevel="0" collapsed="false">
      <c r="A876" s="55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</row>
    <row r="877" customFormat="false" ht="15.75" hidden="false" customHeight="true" outlineLevel="0" collapsed="false">
      <c r="A877" s="55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</row>
    <row r="878" customFormat="false" ht="15.75" hidden="false" customHeight="true" outlineLevel="0" collapsed="false">
      <c r="A878" s="55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</row>
    <row r="879" customFormat="false" ht="15.75" hidden="false" customHeight="true" outlineLevel="0" collapsed="false">
      <c r="A879" s="55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</row>
    <row r="880" customFormat="false" ht="15.75" hidden="false" customHeight="true" outlineLevel="0" collapsed="false">
      <c r="A880" s="55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</row>
    <row r="881" customFormat="false" ht="15.75" hidden="false" customHeight="true" outlineLevel="0" collapsed="false">
      <c r="A881" s="55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</row>
    <row r="882" customFormat="false" ht="15.75" hidden="false" customHeight="true" outlineLevel="0" collapsed="false">
      <c r="A882" s="55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</row>
    <row r="883" customFormat="false" ht="15.75" hidden="false" customHeight="true" outlineLevel="0" collapsed="false">
      <c r="A883" s="55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</row>
    <row r="884" customFormat="false" ht="15.75" hidden="false" customHeight="true" outlineLevel="0" collapsed="false">
      <c r="A884" s="55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</row>
    <row r="885" customFormat="false" ht="15.75" hidden="false" customHeight="true" outlineLevel="0" collapsed="false">
      <c r="A885" s="55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</row>
    <row r="886" customFormat="false" ht="15.75" hidden="false" customHeight="true" outlineLevel="0" collapsed="false">
      <c r="A886" s="55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</row>
    <row r="887" customFormat="false" ht="15.75" hidden="false" customHeight="true" outlineLevel="0" collapsed="false">
      <c r="A887" s="55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</row>
    <row r="888" customFormat="false" ht="15.75" hidden="false" customHeight="true" outlineLevel="0" collapsed="false">
      <c r="A888" s="55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</row>
    <row r="889" customFormat="false" ht="15.75" hidden="false" customHeight="true" outlineLevel="0" collapsed="false">
      <c r="A889" s="55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</row>
    <row r="890" customFormat="false" ht="15.75" hidden="false" customHeight="true" outlineLevel="0" collapsed="false">
      <c r="A890" s="55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</row>
    <row r="891" customFormat="false" ht="15.75" hidden="false" customHeight="true" outlineLevel="0" collapsed="false">
      <c r="A891" s="55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</row>
    <row r="892" customFormat="false" ht="15.75" hidden="false" customHeight="true" outlineLevel="0" collapsed="false">
      <c r="A892" s="55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</row>
    <row r="893" customFormat="false" ht="15.75" hidden="false" customHeight="true" outlineLevel="0" collapsed="false">
      <c r="A893" s="55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</row>
    <row r="894" customFormat="false" ht="15.75" hidden="false" customHeight="true" outlineLevel="0" collapsed="false">
      <c r="A894" s="55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</row>
    <row r="895" customFormat="false" ht="15.75" hidden="false" customHeight="true" outlineLevel="0" collapsed="false">
      <c r="A895" s="55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</row>
    <row r="896" customFormat="false" ht="15.75" hidden="false" customHeight="true" outlineLevel="0" collapsed="false">
      <c r="A896" s="55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</row>
    <row r="897" customFormat="false" ht="15.75" hidden="false" customHeight="true" outlineLevel="0" collapsed="false">
      <c r="A897" s="55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</row>
    <row r="898" customFormat="false" ht="15.75" hidden="false" customHeight="true" outlineLevel="0" collapsed="false">
      <c r="A898" s="55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</row>
    <row r="899" customFormat="false" ht="15.75" hidden="false" customHeight="true" outlineLevel="0" collapsed="false">
      <c r="A899" s="55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</row>
    <row r="900" customFormat="false" ht="15.75" hidden="false" customHeight="true" outlineLevel="0" collapsed="false">
      <c r="A900" s="55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</row>
    <row r="901" customFormat="false" ht="15.75" hidden="false" customHeight="true" outlineLevel="0" collapsed="false">
      <c r="A901" s="55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</row>
    <row r="902" customFormat="false" ht="15.75" hidden="false" customHeight="true" outlineLevel="0" collapsed="false">
      <c r="A902" s="55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</row>
    <row r="903" customFormat="false" ht="15.75" hidden="false" customHeight="true" outlineLevel="0" collapsed="false">
      <c r="A903" s="55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</row>
    <row r="904" customFormat="false" ht="15.75" hidden="false" customHeight="true" outlineLevel="0" collapsed="false">
      <c r="A904" s="55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</row>
    <row r="905" customFormat="false" ht="15.75" hidden="false" customHeight="true" outlineLevel="0" collapsed="false">
      <c r="A905" s="55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</row>
    <row r="906" customFormat="false" ht="15.75" hidden="false" customHeight="true" outlineLevel="0" collapsed="false">
      <c r="A906" s="55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</row>
    <row r="907" customFormat="false" ht="15.75" hidden="false" customHeight="true" outlineLevel="0" collapsed="false">
      <c r="A907" s="55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</row>
    <row r="908" customFormat="false" ht="15.75" hidden="false" customHeight="true" outlineLevel="0" collapsed="false">
      <c r="A908" s="55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</row>
    <row r="909" customFormat="false" ht="15.75" hidden="false" customHeight="true" outlineLevel="0" collapsed="false">
      <c r="A909" s="55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</row>
    <row r="910" customFormat="false" ht="15.75" hidden="false" customHeight="true" outlineLevel="0" collapsed="false">
      <c r="A910" s="55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</row>
    <row r="911" customFormat="false" ht="15.75" hidden="false" customHeight="true" outlineLevel="0" collapsed="false">
      <c r="A911" s="55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</row>
    <row r="912" customFormat="false" ht="15.75" hidden="false" customHeight="true" outlineLevel="0" collapsed="false">
      <c r="A912" s="55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</row>
    <row r="913" customFormat="false" ht="15.75" hidden="false" customHeight="true" outlineLevel="0" collapsed="false">
      <c r="A913" s="55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</row>
    <row r="914" customFormat="false" ht="15.75" hidden="false" customHeight="true" outlineLevel="0" collapsed="false">
      <c r="A914" s="55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</row>
    <row r="915" customFormat="false" ht="15.75" hidden="false" customHeight="true" outlineLevel="0" collapsed="false">
      <c r="A915" s="55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</row>
    <row r="916" customFormat="false" ht="15.75" hidden="false" customHeight="true" outlineLevel="0" collapsed="false">
      <c r="A916" s="55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</row>
    <row r="917" customFormat="false" ht="15.75" hidden="false" customHeight="true" outlineLevel="0" collapsed="false">
      <c r="A917" s="55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</row>
    <row r="918" customFormat="false" ht="15.75" hidden="false" customHeight="true" outlineLevel="0" collapsed="false">
      <c r="A918" s="55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</row>
    <row r="919" customFormat="false" ht="15.75" hidden="false" customHeight="true" outlineLevel="0" collapsed="false">
      <c r="A919" s="55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</row>
    <row r="920" customFormat="false" ht="15.75" hidden="false" customHeight="true" outlineLevel="0" collapsed="false">
      <c r="A920" s="55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</row>
    <row r="921" customFormat="false" ht="15.75" hidden="false" customHeight="true" outlineLevel="0" collapsed="false">
      <c r="A921" s="55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</row>
    <row r="922" customFormat="false" ht="15.75" hidden="false" customHeight="true" outlineLevel="0" collapsed="false">
      <c r="A922" s="55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</row>
    <row r="923" customFormat="false" ht="15.75" hidden="false" customHeight="true" outlineLevel="0" collapsed="false">
      <c r="A923" s="55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</row>
    <row r="924" customFormat="false" ht="15.75" hidden="false" customHeight="true" outlineLevel="0" collapsed="false">
      <c r="A924" s="55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</row>
    <row r="925" customFormat="false" ht="15.75" hidden="false" customHeight="true" outlineLevel="0" collapsed="false">
      <c r="A925" s="55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</row>
    <row r="926" customFormat="false" ht="15.75" hidden="false" customHeight="true" outlineLevel="0" collapsed="false">
      <c r="A926" s="55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</row>
    <row r="927" customFormat="false" ht="15.75" hidden="false" customHeight="true" outlineLevel="0" collapsed="false">
      <c r="A927" s="55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</row>
    <row r="928" customFormat="false" ht="15.75" hidden="false" customHeight="true" outlineLevel="0" collapsed="false">
      <c r="A928" s="55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</row>
    <row r="929" customFormat="false" ht="15.75" hidden="false" customHeight="true" outlineLevel="0" collapsed="false">
      <c r="A929" s="55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</row>
    <row r="930" customFormat="false" ht="15.75" hidden="false" customHeight="true" outlineLevel="0" collapsed="false">
      <c r="A930" s="55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</row>
    <row r="931" customFormat="false" ht="15.75" hidden="false" customHeight="true" outlineLevel="0" collapsed="false">
      <c r="A931" s="55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</row>
    <row r="932" customFormat="false" ht="15.75" hidden="false" customHeight="true" outlineLevel="0" collapsed="false">
      <c r="A932" s="55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</row>
    <row r="933" customFormat="false" ht="15.75" hidden="false" customHeight="true" outlineLevel="0" collapsed="false">
      <c r="A933" s="55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</row>
    <row r="934" customFormat="false" ht="15.75" hidden="false" customHeight="true" outlineLevel="0" collapsed="false">
      <c r="A934" s="55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</row>
    <row r="935" customFormat="false" ht="15.75" hidden="false" customHeight="true" outlineLevel="0" collapsed="false">
      <c r="A935" s="55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</row>
    <row r="936" customFormat="false" ht="15.75" hidden="false" customHeight="true" outlineLevel="0" collapsed="false">
      <c r="A936" s="55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</row>
    <row r="937" customFormat="false" ht="15.75" hidden="false" customHeight="true" outlineLevel="0" collapsed="false">
      <c r="A937" s="55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</row>
    <row r="938" customFormat="false" ht="15.75" hidden="false" customHeight="true" outlineLevel="0" collapsed="false">
      <c r="A938" s="55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</row>
    <row r="939" customFormat="false" ht="15.75" hidden="false" customHeight="true" outlineLevel="0" collapsed="false">
      <c r="A939" s="55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</row>
    <row r="940" customFormat="false" ht="15.75" hidden="false" customHeight="true" outlineLevel="0" collapsed="false">
      <c r="A940" s="55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</row>
    <row r="941" customFormat="false" ht="15.75" hidden="false" customHeight="true" outlineLevel="0" collapsed="false">
      <c r="A941" s="55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</row>
    <row r="942" customFormat="false" ht="15.75" hidden="false" customHeight="true" outlineLevel="0" collapsed="false">
      <c r="A942" s="55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</row>
    <row r="943" customFormat="false" ht="15.75" hidden="false" customHeight="true" outlineLevel="0" collapsed="false">
      <c r="A943" s="55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</row>
    <row r="944" customFormat="false" ht="15.75" hidden="false" customHeight="true" outlineLevel="0" collapsed="false">
      <c r="A944" s="55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</row>
    <row r="945" customFormat="false" ht="15.75" hidden="false" customHeight="true" outlineLevel="0" collapsed="false">
      <c r="A945" s="55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</row>
    <row r="946" customFormat="false" ht="15.75" hidden="false" customHeight="true" outlineLevel="0" collapsed="false">
      <c r="A946" s="55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</row>
    <row r="947" customFormat="false" ht="15.75" hidden="false" customHeight="true" outlineLevel="0" collapsed="false">
      <c r="A947" s="55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</row>
    <row r="948" customFormat="false" ht="15.75" hidden="false" customHeight="true" outlineLevel="0" collapsed="false">
      <c r="A948" s="55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</row>
    <row r="949" customFormat="false" ht="15.75" hidden="false" customHeight="true" outlineLevel="0" collapsed="false">
      <c r="A949" s="55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</row>
    <row r="950" customFormat="false" ht="15.75" hidden="false" customHeight="true" outlineLevel="0" collapsed="false">
      <c r="A950" s="55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</row>
    <row r="951" customFormat="false" ht="15.75" hidden="false" customHeight="true" outlineLevel="0" collapsed="false">
      <c r="A951" s="55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</row>
    <row r="952" customFormat="false" ht="15.75" hidden="false" customHeight="true" outlineLevel="0" collapsed="false">
      <c r="A952" s="55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</row>
    <row r="953" customFormat="false" ht="15.75" hidden="false" customHeight="true" outlineLevel="0" collapsed="false">
      <c r="A953" s="55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</row>
    <row r="954" customFormat="false" ht="15.75" hidden="false" customHeight="true" outlineLevel="0" collapsed="false">
      <c r="A954" s="55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</row>
    <row r="955" customFormat="false" ht="15.75" hidden="false" customHeight="true" outlineLevel="0" collapsed="false">
      <c r="A955" s="55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</row>
    <row r="956" customFormat="false" ht="15.75" hidden="false" customHeight="true" outlineLevel="0" collapsed="false">
      <c r="A956" s="55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</row>
    <row r="957" customFormat="false" ht="15.75" hidden="false" customHeight="true" outlineLevel="0" collapsed="false">
      <c r="A957" s="55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</row>
    <row r="958" customFormat="false" ht="15.75" hidden="false" customHeight="true" outlineLevel="0" collapsed="false">
      <c r="A958" s="55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</row>
    <row r="959" customFormat="false" ht="15.75" hidden="false" customHeight="true" outlineLevel="0" collapsed="false">
      <c r="A959" s="55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</row>
    <row r="960" customFormat="false" ht="15.75" hidden="false" customHeight="true" outlineLevel="0" collapsed="false">
      <c r="A960" s="55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</row>
    <row r="961" customFormat="false" ht="15.75" hidden="false" customHeight="true" outlineLevel="0" collapsed="false">
      <c r="A961" s="55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</row>
    <row r="962" customFormat="false" ht="15.75" hidden="false" customHeight="true" outlineLevel="0" collapsed="false">
      <c r="A962" s="55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</row>
    <row r="963" customFormat="false" ht="15.75" hidden="false" customHeight="true" outlineLevel="0" collapsed="false">
      <c r="A963" s="55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</row>
    <row r="964" customFormat="false" ht="15.75" hidden="false" customHeight="true" outlineLevel="0" collapsed="false">
      <c r="A964" s="55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</row>
    <row r="965" customFormat="false" ht="15.75" hidden="false" customHeight="true" outlineLevel="0" collapsed="false">
      <c r="A965" s="55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</row>
    <row r="966" customFormat="false" ht="15.75" hidden="false" customHeight="true" outlineLevel="0" collapsed="false">
      <c r="A966" s="55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</row>
    <row r="967" customFormat="false" ht="15.75" hidden="false" customHeight="true" outlineLevel="0" collapsed="false">
      <c r="A967" s="55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</row>
    <row r="968" customFormat="false" ht="15.75" hidden="false" customHeight="true" outlineLevel="0" collapsed="false">
      <c r="A968" s="55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</row>
    <row r="969" customFormat="false" ht="15.75" hidden="false" customHeight="true" outlineLevel="0" collapsed="false">
      <c r="A969" s="55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</row>
    <row r="970" customFormat="false" ht="15.75" hidden="false" customHeight="true" outlineLevel="0" collapsed="false">
      <c r="A970" s="55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</row>
    <row r="971" customFormat="false" ht="15.75" hidden="false" customHeight="true" outlineLevel="0" collapsed="false">
      <c r="A971" s="55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</row>
    <row r="972" customFormat="false" ht="15.75" hidden="false" customHeight="true" outlineLevel="0" collapsed="false">
      <c r="A972" s="55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</row>
    <row r="973" customFormat="false" ht="15.75" hidden="false" customHeight="true" outlineLevel="0" collapsed="false">
      <c r="A973" s="55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</row>
    <row r="974" customFormat="false" ht="15.75" hidden="false" customHeight="true" outlineLevel="0" collapsed="false">
      <c r="A974" s="55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</row>
    <row r="975" customFormat="false" ht="15.75" hidden="false" customHeight="true" outlineLevel="0" collapsed="false">
      <c r="A975" s="55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</row>
    <row r="976" customFormat="false" ht="15.75" hidden="false" customHeight="true" outlineLevel="0" collapsed="false">
      <c r="A976" s="55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</row>
    <row r="977" customFormat="false" ht="15.75" hidden="false" customHeight="true" outlineLevel="0" collapsed="false">
      <c r="A977" s="55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</row>
    <row r="978" customFormat="false" ht="15.75" hidden="false" customHeight="true" outlineLevel="0" collapsed="false">
      <c r="A978" s="55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</row>
    <row r="979" customFormat="false" ht="15.75" hidden="false" customHeight="true" outlineLevel="0" collapsed="false">
      <c r="A979" s="55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</row>
    <row r="980" customFormat="false" ht="15.75" hidden="false" customHeight="true" outlineLevel="0" collapsed="false">
      <c r="A980" s="55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</row>
    <row r="981" customFormat="false" ht="15.75" hidden="false" customHeight="true" outlineLevel="0" collapsed="false">
      <c r="A981" s="55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</row>
    <row r="982" customFormat="false" ht="15.75" hidden="false" customHeight="true" outlineLevel="0" collapsed="false">
      <c r="A982" s="55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</row>
    <row r="983" customFormat="false" ht="15.75" hidden="false" customHeight="true" outlineLevel="0" collapsed="false">
      <c r="A983" s="55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</row>
    <row r="984" customFormat="false" ht="15.75" hidden="false" customHeight="true" outlineLevel="0" collapsed="false">
      <c r="A984" s="55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</row>
    <row r="985" customFormat="false" ht="15.75" hidden="false" customHeight="true" outlineLevel="0" collapsed="false">
      <c r="A985" s="55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</row>
    <row r="986" customFormat="false" ht="15.75" hidden="false" customHeight="true" outlineLevel="0" collapsed="false">
      <c r="A986" s="55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</row>
    <row r="987" customFormat="false" ht="15.75" hidden="false" customHeight="true" outlineLevel="0" collapsed="false">
      <c r="A987" s="55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</row>
    <row r="988" customFormat="false" ht="15.75" hidden="false" customHeight="true" outlineLevel="0" collapsed="false">
      <c r="A988" s="55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</row>
    <row r="989" customFormat="false" ht="15.75" hidden="false" customHeight="true" outlineLevel="0" collapsed="false">
      <c r="A989" s="55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</row>
    <row r="990" customFormat="false" ht="15.75" hidden="false" customHeight="true" outlineLevel="0" collapsed="false">
      <c r="A990" s="55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</row>
    <row r="991" customFormat="false" ht="15.75" hidden="false" customHeight="true" outlineLevel="0" collapsed="false">
      <c r="A991" s="55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</row>
    <row r="992" customFormat="false" ht="15.75" hidden="false" customHeight="true" outlineLevel="0" collapsed="false">
      <c r="A992" s="55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</row>
    <row r="993" customFormat="false" ht="15.75" hidden="false" customHeight="true" outlineLevel="0" collapsed="false">
      <c r="A993" s="55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</row>
    <row r="994" customFormat="false" ht="15.75" hidden="false" customHeight="true" outlineLevel="0" collapsed="false">
      <c r="A994" s="55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</row>
    <row r="995" customFormat="false" ht="15.75" hidden="false" customHeight="true" outlineLevel="0" collapsed="false">
      <c r="A995" s="55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</row>
    <row r="996" customFormat="false" ht="15.75" hidden="false" customHeight="true" outlineLevel="0" collapsed="false">
      <c r="A996" s="55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</row>
    <row r="997" customFormat="false" ht="15.75" hidden="false" customHeight="true" outlineLevel="0" collapsed="false">
      <c r="A997" s="55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</row>
    <row r="998" customFormat="false" ht="15.75" hidden="false" customHeight="true" outlineLevel="0" collapsed="false">
      <c r="A998" s="55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</row>
    <row r="999" customFormat="false" ht="15.75" hidden="false" customHeight="true" outlineLevel="0" collapsed="false">
      <c r="A999" s="55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</row>
    <row r="1000" customFormat="false" ht="15.75" hidden="false" customHeight="true" outlineLevel="0" collapsed="false">
      <c r="A1000" s="55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</row>
    <row r="1001" customFormat="false" ht="15.75" hidden="false" customHeight="true" outlineLevel="0" collapsed="false">
      <c r="A1001" s="55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5"/>
      <c r="AM1001" s="55"/>
      <c r="AN1001" s="55"/>
      <c r="AO1001" s="55"/>
      <c r="AP1001" s="55"/>
      <c r="AQ1001" s="55"/>
      <c r="AR1001" s="55"/>
      <c r="AS1001" s="55"/>
      <c r="AT1001" s="55"/>
      <c r="AU1001" s="55"/>
      <c r="AV1001" s="55"/>
    </row>
    <row r="1002" customFormat="false" ht="15.75" hidden="false" customHeight="true" outlineLevel="0" collapsed="false">
      <c r="A1002" s="55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5"/>
      <c r="AM1002" s="55"/>
      <c r="AN1002" s="55"/>
      <c r="AO1002" s="55"/>
      <c r="AP1002" s="55"/>
      <c r="AQ1002" s="55"/>
      <c r="AR1002" s="55"/>
      <c r="AS1002" s="55"/>
      <c r="AT1002" s="55"/>
      <c r="AU1002" s="55"/>
      <c r="AV1002" s="55"/>
    </row>
    <row r="1003" customFormat="false" ht="15.75" hidden="false" customHeight="true" outlineLevel="0" collapsed="false">
      <c r="A1003" s="55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5"/>
      <c r="AM1003" s="55"/>
      <c r="AN1003" s="55"/>
      <c r="AO1003" s="55"/>
      <c r="AP1003" s="55"/>
      <c r="AQ1003" s="55"/>
      <c r="AR1003" s="55"/>
      <c r="AS1003" s="55"/>
      <c r="AT1003" s="55"/>
      <c r="AU1003" s="55"/>
      <c r="AV1003" s="55"/>
    </row>
    <row r="1004" customFormat="false" ht="15.75" hidden="false" customHeight="true" outlineLevel="0" collapsed="false">
      <c r="A1004" s="55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5"/>
      <c r="AM1004" s="55"/>
      <c r="AN1004" s="55"/>
      <c r="AO1004" s="55"/>
      <c r="AP1004" s="55"/>
      <c r="AQ1004" s="55"/>
      <c r="AR1004" s="55"/>
      <c r="AS1004" s="55"/>
      <c r="AT1004" s="55"/>
      <c r="AU1004" s="55"/>
      <c r="AV1004" s="55"/>
    </row>
    <row r="1005" customFormat="false" ht="15.75" hidden="false" customHeight="true" outlineLevel="0" collapsed="false">
      <c r="A1005" s="55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5"/>
      <c r="AM1005" s="55"/>
      <c r="AN1005" s="55"/>
      <c r="AO1005" s="55"/>
      <c r="AP1005" s="55"/>
      <c r="AQ1005" s="55"/>
      <c r="AR1005" s="55"/>
      <c r="AS1005" s="55"/>
      <c r="AT1005" s="55"/>
      <c r="AU1005" s="55"/>
      <c r="AV1005" s="55"/>
    </row>
    <row r="1006" customFormat="false" ht="15.75" hidden="false" customHeight="true" outlineLevel="0" collapsed="false">
      <c r="A1006" s="55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5"/>
      <c r="AM1006" s="55"/>
      <c r="AN1006" s="55"/>
      <c r="AO1006" s="55"/>
      <c r="AP1006" s="55"/>
      <c r="AQ1006" s="55"/>
      <c r="AR1006" s="55"/>
      <c r="AS1006" s="55"/>
      <c r="AT1006" s="55"/>
      <c r="AU1006" s="55"/>
      <c r="AV1006" s="55"/>
    </row>
    <row r="1007" customFormat="false" ht="15.75" hidden="false" customHeight="true" outlineLevel="0" collapsed="false">
      <c r="A1007" s="55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5"/>
      <c r="AM1007" s="55"/>
      <c r="AN1007" s="55"/>
      <c r="AO1007" s="55"/>
      <c r="AP1007" s="55"/>
      <c r="AQ1007" s="55"/>
      <c r="AR1007" s="55"/>
      <c r="AS1007" s="55"/>
      <c r="AT1007" s="55"/>
      <c r="AU1007" s="55"/>
      <c r="AV1007" s="55"/>
    </row>
    <row r="1008" customFormat="false" ht="15.75" hidden="false" customHeight="true" outlineLevel="0" collapsed="false">
      <c r="A1008" s="55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5"/>
      <c r="AM1008" s="55"/>
      <c r="AN1008" s="55"/>
      <c r="AO1008" s="55"/>
      <c r="AP1008" s="55"/>
      <c r="AQ1008" s="55"/>
      <c r="AR1008" s="55"/>
      <c r="AS1008" s="55"/>
      <c r="AT1008" s="55"/>
      <c r="AU1008" s="55"/>
      <c r="AV1008" s="55"/>
    </row>
    <row r="1009" customFormat="false" ht="15.75" hidden="false" customHeight="true" outlineLevel="0" collapsed="false">
      <c r="A1009" s="55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5"/>
      <c r="AM1009" s="55"/>
      <c r="AN1009" s="55"/>
      <c r="AO1009" s="55"/>
      <c r="AP1009" s="55"/>
      <c r="AQ1009" s="55"/>
      <c r="AR1009" s="55"/>
      <c r="AS1009" s="55"/>
      <c r="AT1009" s="55"/>
      <c r="AU1009" s="55"/>
      <c r="AV1009" s="55"/>
    </row>
    <row r="1010" customFormat="false" ht="15.75" hidden="false" customHeight="true" outlineLevel="0" collapsed="false">
      <c r="A1010" s="55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5"/>
      <c r="AM1010" s="55"/>
      <c r="AN1010" s="55"/>
      <c r="AO1010" s="55"/>
      <c r="AP1010" s="55"/>
      <c r="AQ1010" s="55"/>
      <c r="AR1010" s="55"/>
      <c r="AS1010" s="55"/>
      <c r="AT1010" s="55"/>
      <c r="AU1010" s="55"/>
      <c r="AV1010" s="55"/>
    </row>
    <row r="1011" customFormat="false" ht="15.75" hidden="false" customHeight="true" outlineLevel="0" collapsed="false">
      <c r="A1011" s="55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5"/>
      <c r="AM1011" s="55"/>
      <c r="AN1011" s="55"/>
      <c r="AO1011" s="55"/>
      <c r="AP1011" s="55"/>
      <c r="AQ1011" s="55"/>
      <c r="AR1011" s="55"/>
      <c r="AS1011" s="55"/>
      <c r="AT1011" s="55"/>
      <c r="AU1011" s="55"/>
      <c r="AV1011" s="55"/>
    </row>
  </sheetData>
  <mergeCells count="40">
    <mergeCell ref="A1:AV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4:AV5"/>
    <mergeCell ref="B6:AV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I7:AK7"/>
    <mergeCell ref="B22:AV22"/>
  </mergeCells>
  <dataValidations count="1">
    <dataValidation allowBlank="true" errorStyle="stop" operator="between" showDropDown="true" showErrorMessage="false" showInputMessage="false" sqref="E9:AI19 AK9:AK19 B24:M26" type="custom">
      <formula1>AND(ISNUMBER(#ref!),(NOT(OR(NOT(ISERROR(DATEVALUE(#ref!))), AND(ISNUMBER(#ref!), LEFT(CELL("format", #ref!))="D")))))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5.12"/>
    <col collapsed="false" customWidth="true" hidden="false" outlineLevel="0" max="2" min="2" style="1" width="13.88"/>
    <col collapsed="false" customWidth="true" hidden="false" outlineLevel="0" max="3" min="3" style="1" width="14.38"/>
    <col collapsed="false" customWidth="true" hidden="false" outlineLevel="0" max="4" min="4" style="1" width="14.13"/>
    <col collapsed="false" customWidth="true" hidden="false" outlineLevel="0" max="5" min="5" style="1" width="15.38"/>
    <col collapsed="false" customWidth="true" hidden="false" outlineLevel="0" max="6" min="6" style="1" width="13.75"/>
    <col collapsed="false" customWidth="true" hidden="false" outlineLevel="0" max="7" min="7" style="1" width="13.88"/>
    <col collapsed="false" customWidth="true" hidden="false" outlineLevel="0" max="8" min="8" style="1" width="14.88"/>
    <col collapsed="false" customWidth="true" hidden="false" outlineLevel="0" max="9" min="9" style="1" width="14.75"/>
    <col collapsed="false" customWidth="true" hidden="false" outlineLevel="0" max="10" min="10" style="1" width="14.38"/>
    <col collapsed="false" customWidth="true" hidden="false" outlineLevel="0" max="12" min="11" style="1" width="14.13"/>
    <col collapsed="false" customWidth="true" hidden="false" outlineLevel="0" max="14" min="13" style="1" width="13.75"/>
    <col collapsed="false" customWidth="true" hidden="false" outlineLevel="0" max="18" min="15" style="1" width="14.25"/>
    <col collapsed="false" customWidth="true" hidden="false" outlineLevel="0" max="19" min="19" style="1" width="13.25"/>
    <col collapsed="false" customWidth="true" hidden="false" outlineLevel="0" max="20" min="20" style="1" width="13.38"/>
  </cols>
  <sheetData>
    <row r="1" customFormat="false" ht="18" hidden="false" customHeight="true" outlineLevel="0" collapsed="false">
      <c r="A1" s="103" t="s">
        <v>72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customFormat="false" ht="18" hidden="false" customHeight="true" outlineLevel="0" collapsed="false">
      <c r="A2" s="30"/>
      <c r="B2" s="31" t="s">
        <v>14</v>
      </c>
      <c r="C2" s="31" t="s">
        <v>15</v>
      </c>
      <c r="D2" s="31" t="s">
        <v>16</v>
      </c>
      <c r="E2" s="31" t="s">
        <v>17</v>
      </c>
      <c r="F2" s="31" t="s">
        <v>18</v>
      </c>
      <c r="G2" s="31" t="s">
        <v>19</v>
      </c>
      <c r="H2" s="31" t="s">
        <v>20</v>
      </c>
      <c r="I2" s="31" t="s">
        <v>21</v>
      </c>
      <c r="J2" s="31" t="s">
        <v>22</v>
      </c>
      <c r="K2" s="31" t="s">
        <v>23</v>
      </c>
      <c r="L2" s="31"/>
      <c r="M2" s="31"/>
      <c r="N2" s="31"/>
      <c r="O2" s="31" t="s">
        <v>24</v>
      </c>
      <c r="P2" s="31"/>
      <c r="Q2" s="31"/>
      <c r="R2" s="31" t="s">
        <v>25</v>
      </c>
      <c r="S2" s="31"/>
      <c r="T2" s="31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</row>
    <row r="3" customFormat="false" ht="18" hidden="false" customHeight="true" outlineLevel="0" collapsed="false">
      <c r="A3" s="105" t="s">
        <v>73</v>
      </c>
      <c r="B3" s="106"/>
      <c r="C3" s="106"/>
      <c r="D3" s="106"/>
      <c r="E3" s="106"/>
      <c r="F3" s="106"/>
      <c r="G3" s="106"/>
      <c r="H3" s="106"/>
      <c r="I3" s="106"/>
      <c r="J3" s="106"/>
      <c r="K3" s="33" t="n">
        <v>1913.59</v>
      </c>
      <c r="L3" s="33"/>
      <c r="M3" s="33"/>
      <c r="N3" s="33"/>
      <c r="O3" s="33" t="n">
        <v>2224.01</v>
      </c>
      <c r="P3" s="33"/>
      <c r="Q3" s="33"/>
      <c r="R3" s="33" t="n">
        <v>2134.56</v>
      </c>
      <c r="S3" s="33"/>
      <c r="T3" s="33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</row>
    <row r="4" customFormat="false" ht="15.75" hidden="false" customHeight="true" outlineLevel="0" collapsed="false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customFormat="false" ht="15.75" hidden="false" customHeight="true" outlineLevel="0" collapsed="false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</row>
    <row r="6" customFormat="false" ht="18" hidden="false" customHeight="true" outlineLevel="0" collapsed="false">
      <c r="A6" s="105" t="s">
        <v>11</v>
      </c>
      <c r="B6" s="106"/>
      <c r="C6" s="106"/>
      <c r="D6" s="106"/>
      <c r="E6" s="106"/>
      <c r="F6" s="106"/>
      <c r="G6" s="106"/>
      <c r="H6" s="106"/>
      <c r="I6" s="106"/>
      <c r="J6" s="106"/>
      <c r="K6" s="108"/>
      <c r="L6" s="108"/>
      <c r="M6" s="108"/>
      <c r="N6" s="108"/>
      <c r="O6" s="108"/>
      <c r="P6" s="108"/>
      <c r="Q6" s="108"/>
      <c r="R6" s="108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</row>
    <row r="7" customFormat="false" ht="18" hidden="false" customHeight="true" outlineLevel="0" collapsed="false">
      <c r="A7" s="30"/>
      <c r="B7" s="31" t="s">
        <v>14</v>
      </c>
      <c r="C7" s="31" t="s">
        <v>15</v>
      </c>
      <c r="D7" s="31" t="s">
        <v>16</v>
      </c>
      <c r="E7" s="31" t="s">
        <v>17</v>
      </c>
      <c r="F7" s="31" t="s">
        <v>18</v>
      </c>
      <c r="G7" s="31" t="s">
        <v>19</v>
      </c>
      <c r="H7" s="31" t="s">
        <v>20</v>
      </c>
      <c r="I7" s="31" t="s">
        <v>21</v>
      </c>
      <c r="J7" s="109" t="s">
        <v>22</v>
      </c>
      <c r="K7" s="37" t="s">
        <v>23</v>
      </c>
      <c r="L7" s="37"/>
      <c r="M7" s="37"/>
      <c r="N7" s="37"/>
      <c r="O7" s="37" t="s">
        <v>24</v>
      </c>
      <c r="P7" s="37"/>
      <c r="Q7" s="37"/>
      <c r="R7" s="37" t="s">
        <v>25</v>
      </c>
      <c r="S7" s="37"/>
      <c r="T7" s="37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customFormat="false" ht="18" hidden="false" customHeight="true" outlineLevel="0" collapsed="false">
      <c r="A8" s="110"/>
      <c r="B8" s="111"/>
      <c r="C8" s="111"/>
      <c r="D8" s="111"/>
      <c r="E8" s="111"/>
      <c r="F8" s="111"/>
      <c r="G8" s="111"/>
      <c r="H8" s="111"/>
      <c r="I8" s="111"/>
      <c r="J8" s="112"/>
      <c r="K8" s="113" t="s">
        <v>109</v>
      </c>
      <c r="L8" s="111" t="s">
        <v>66</v>
      </c>
      <c r="M8" s="114" t="s">
        <v>137</v>
      </c>
      <c r="N8" s="112" t="s">
        <v>111</v>
      </c>
      <c r="O8" s="113" t="s">
        <v>109</v>
      </c>
      <c r="P8" s="111" t="s">
        <v>66</v>
      </c>
      <c r="Q8" s="112" t="s">
        <v>111</v>
      </c>
      <c r="R8" s="113" t="s">
        <v>109</v>
      </c>
      <c r="S8" s="111" t="s">
        <v>66</v>
      </c>
      <c r="T8" s="115" t="s">
        <v>111</v>
      </c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</row>
    <row r="9" customFormat="false" ht="18" hidden="false" customHeight="true" outlineLevel="0" collapsed="false">
      <c r="A9" s="117" t="s">
        <v>40</v>
      </c>
      <c r="B9" s="118" t="n">
        <v>8380.65</v>
      </c>
      <c r="C9" s="118" t="n">
        <v>8580.65</v>
      </c>
      <c r="D9" s="118" t="n">
        <v>10030.65</v>
      </c>
      <c r="E9" s="118" t="n">
        <v>10881.84</v>
      </c>
      <c r="F9" s="118" t="n">
        <v>10915.18</v>
      </c>
      <c r="G9" s="118" t="n">
        <v>13365.18</v>
      </c>
      <c r="H9" s="118" t="n">
        <v>4765.19</v>
      </c>
      <c r="I9" s="118" t="n">
        <v>5000</v>
      </c>
      <c r="J9" s="119" t="n">
        <v>5000</v>
      </c>
      <c r="K9" s="120" t="n">
        <v>5000</v>
      </c>
      <c r="L9" s="118" t="n">
        <v>0</v>
      </c>
      <c r="M9" s="121" t="n">
        <f aca="false">(K9 - J9) / J9</f>
        <v>0</v>
      </c>
      <c r="N9" s="119" t="n">
        <f aca="false">ABS(K9-J9)</f>
        <v>0</v>
      </c>
      <c r="O9" s="120" t="n">
        <v>5013.5</v>
      </c>
      <c r="P9" s="118" t="n">
        <v>0</v>
      </c>
      <c r="Q9" s="119" t="n">
        <f aca="false">(O9 - K9)</f>
        <v>13.5</v>
      </c>
      <c r="R9" s="120" t="n">
        <v>5013.5</v>
      </c>
      <c r="S9" s="118" t="n">
        <v>0</v>
      </c>
      <c r="T9" s="122" t="n">
        <f aca="false">ABS(R9-O9)</f>
        <v>0</v>
      </c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customFormat="false" ht="18" hidden="false" customHeight="true" outlineLevel="0" collapsed="false">
      <c r="A10" s="123" t="s">
        <v>47</v>
      </c>
      <c r="B10" s="118"/>
      <c r="C10" s="118"/>
      <c r="D10" s="118"/>
      <c r="E10" s="118"/>
      <c r="F10" s="118"/>
      <c r="G10" s="118"/>
      <c r="H10" s="118" t="n">
        <v>5000</v>
      </c>
      <c r="I10" s="118" t="n">
        <v>7760.6</v>
      </c>
      <c r="J10" s="119" t="n">
        <v>8817.61</v>
      </c>
      <c r="K10" s="120" t="n">
        <v>10817.61</v>
      </c>
      <c r="L10" s="118" t="n">
        <v>2000</v>
      </c>
      <c r="M10" s="121" t="n">
        <f aca="false">(K10 - J10) / J10</f>
        <v>0.226818831860334</v>
      </c>
      <c r="N10" s="119" t="n">
        <f aca="false">ABS(K10-J10)</f>
        <v>2000</v>
      </c>
      <c r="O10" s="120" t="n">
        <v>10847.56</v>
      </c>
      <c r="P10" s="118" t="n">
        <v>0</v>
      </c>
      <c r="Q10" s="119" t="n">
        <f aca="false">(O10 - K10)</f>
        <v>29.9499999999989</v>
      </c>
      <c r="R10" s="120" t="n">
        <v>12908.25</v>
      </c>
      <c r="S10" s="118" t="n">
        <v>2060.69</v>
      </c>
      <c r="T10" s="122" t="n">
        <f aca="false">ABS(R10-O10)</f>
        <v>2060.69</v>
      </c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1" customFormat="false" ht="18" hidden="false" customHeight="true" outlineLevel="0" collapsed="false">
      <c r="A11" s="124" t="s">
        <v>42</v>
      </c>
      <c r="B11" s="118" t="n">
        <v>757.12</v>
      </c>
      <c r="C11" s="118" t="n">
        <v>836.76</v>
      </c>
      <c r="D11" s="118" t="n">
        <v>911.12</v>
      </c>
      <c r="E11" s="118" t="n">
        <v>944.22</v>
      </c>
      <c r="F11" s="118" t="n">
        <v>1004.11</v>
      </c>
      <c r="G11" s="118" t="n">
        <v>1097.35</v>
      </c>
      <c r="H11" s="118" t="n">
        <v>1135.52</v>
      </c>
      <c r="I11" s="118" t="n">
        <v>1196.24</v>
      </c>
      <c r="J11" s="119" t="n">
        <v>1321.58</v>
      </c>
      <c r="K11" s="120" t="n">
        <v>1336.59</v>
      </c>
      <c r="L11" s="118" t="n">
        <v>50</v>
      </c>
      <c r="M11" s="121" t="n">
        <f aca="false">(K11 - J11) / J11</f>
        <v>0.0113576173973577</v>
      </c>
      <c r="N11" s="119" t="n">
        <f aca="false">ABS(K11-J11)</f>
        <v>15.01</v>
      </c>
      <c r="O11" s="120" t="n">
        <v>1386.74</v>
      </c>
      <c r="P11" s="118" t="n">
        <v>50</v>
      </c>
      <c r="Q11" s="119" t="n">
        <f aca="false">(O11 - K11)</f>
        <v>50.1500000000001</v>
      </c>
      <c r="R11" s="120" t="n">
        <v>1427.77</v>
      </c>
      <c r="S11" s="118" t="n">
        <v>50</v>
      </c>
      <c r="T11" s="122" t="n">
        <f aca="false">ABS(R11-O11)</f>
        <v>41.03</v>
      </c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</row>
    <row r="12" customFormat="false" ht="18" hidden="false" customHeight="true" outlineLevel="0" collapsed="false">
      <c r="A12" s="125" t="s">
        <v>41</v>
      </c>
      <c r="B12" s="118" t="n">
        <v>2941.12</v>
      </c>
      <c r="C12" s="118" t="n">
        <v>2982.97</v>
      </c>
      <c r="D12" s="118" t="n">
        <v>3040.6</v>
      </c>
      <c r="E12" s="118" t="n">
        <v>3133.24</v>
      </c>
      <c r="F12" s="118" t="n">
        <v>3288.28</v>
      </c>
      <c r="G12" s="118" t="n">
        <v>3339.94</v>
      </c>
      <c r="H12" s="118" t="n">
        <v>3498.25</v>
      </c>
      <c r="I12" s="118" t="n">
        <v>3647.98</v>
      </c>
      <c r="J12" s="119" t="n">
        <v>3857.08</v>
      </c>
      <c r="K12" s="120" t="n">
        <v>4040.66</v>
      </c>
      <c r="L12" s="118" t="n">
        <v>166</v>
      </c>
      <c r="M12" s="121" t="n">
        <f aca="false">(K12 - J12) / J12</f>
        <v>0.0475955904466591</v>
      </c>
      <c r="N12" s="119" t="n">
        <f aca="false">ABS(K12-J12)</f>
        <v>183.58</v>
      </c>
      <c r="O12" s="120" t="n">
        <v>4245.54</v>
      </c>
      <c r="P12" s="118" t="n">
        <v>178</v>
      </c>
      <c r="Q12" s="119" t="n">
        <f aca="false">(O12 - K12)</f>
        <v>204.88</v>
      </c>
      <c r="R12" s="120" t="n">
        <v>4520.55</v>
      </c>
      <c r="S12" s="118" t="n">
        <v>250</v>
      </c>
      <c r="T12" s="122" t="n">
        <f aca="false">ABS(R12-O12)</f>
        <v>275.01</v>
      </c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3" customFormat="false" ht="18" hidden="false" customHeight="true" outlineLevel="0" collapsed="false">
      <c r="A13" s="126" t="s">
        <v>43</v>
      </c>
      <c r="B13" s="118" t="n">
        <v>1052.96</v>
      </c>
      <c r="C13" s="118" t="n">
        <v>1136.79</v>
      </c>
      <c r="D13" s="118" t="n">
        <v>1209.99</v>
      </c>
      <c r="E13" s="118" t="n">
        <v>1241.88</v>
      </c>
      <c r="F13" s="118" t="n">
        <v>1297.6</v>
      </c>
      <c r="G13" s="118" t="n">
        <v>1378.43</v>
      </c>
      <c r="H13" s="118" t="n">
        <v>1415.69</v>
      </c>
      <c r="I13" s="118" t="n">
        <v>1478.95</v>
      </c>
      <c r="J13" s="119" t="n">
        <v>1555.94</v>
      </c>
      <c r="K13" s="120" t="n">
        <v>1600.39</v>
      </c>
      <c r="L13" s="118" t="n">
        <v>50</v>
      </c>
      <c r="M13" s="121" t="n">
        <f aca="false">(K13 - J13) / J13</f>
        <v>0.0285679396377753</v>
      </c>
      <c r="N13" s="119" t="n">
        <f aca="false">ABS(K13-J13)</f>
        <v>44.45</v>
      </c>
      <c r="O13" s="120" t="n">
        <v>1655.01</v>
      </c>
      <c r="P13" s="118" t="n">
        <v>50</v>
      </c>
      <c r="Q13" s="119" t="n">
        <f aca="false">(O13 - K13)</f>
        <v>54.6199999999999</v>
      </c>
      <c r="R13" s="120" t="n">
        <v>1714.96</v>
      </c>
      <c r="S13" s="118" t="n">
        <v>50</v>
      </c>
      <c r="T13" s="122" t="n">
        <f aca="false">ABS(R13-O13)</f>
        <v>59.95</v>
      </c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 customFormat="false" ht="18" hidden="false" customHeight="true" outlineLevel="0" collapsed="false">
      <c r="A14" s="127" t="s">
        <v>134</v>
      </c>
      <c r="B14" s="118" t="n">
        <v>2560.68</v>
      </c>
      <c r="C14" s="118" t="n">
        <v>2560.68</v>
      </c>
      <c r="D14" s="118" t="n">
        <v>2560.68</v>
      </c>
      <c r="E14" s="118" t="n">
        <v>2579</v>
      </c>
      <c r="F14" s="118" t="n">
        <v>2579</v>
      </c>
      <c r="G14" s="118" t="n">
        <v>2579</v>
      </c>
      <c r="H14" s="118" t="n">
        <v>2597.58</v>
      </c>
      <c r="I14" s="118" t="n">
        <v>2597.58</v>
      </c>
      <c r="J14" s="119" t="n">
        <v>2616.28</v>
      </c>
      <c r="K14" s="120" t="n">
        <v>2616.28</v>
      </c>
      <c r="L14" s="118" t="n">
        <v>0</v>
      </c>
      <c r="M14" s="121" t="n">
        <f aca="false">(K14 - J14) / J14</f>
        <v>0</v>
      </c>
      <c r="N14" s="119" t="n">
        <f aca="false">ABS(K14-J14)</f>
        <v>0</v>
      </c>
      <c r="O14" s="120" t="n">
        <v>2616.28</v>
      </c>
      <c r="P14" s="118" t="n">
        <v>0</v>
      </c>
      <c r="Q14" s="119" t="n">
        <f aca="false">(O14 - K14)</f>
        <v>0</v>
      </c>
      <c r="R14" s="120" t="n">
        <v>2616.28</v>
      </c>
      <c r="S14" s="118" t="n">
        <v>0</v>
      </c>
      <c r="T14" s="122" t="n">
        <f aca="false">ABS(R14-O14)</f>
        <v>0</v>
      </c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 customFormat="false" ht="18" hidden="false" customHeight="true" outlineLevel="0" collapsed="false">
      <c r="A15" s="128" t="s">
        <v>108</v>
      </c>
      <c r="B15" s="118" t="n">
        <v>4500</v>
      </c>
      <c r="C15" s="118" t="n">
        <v>4300</v>
      </c>
      <c r="D15" s="118" t="n">
        <v>4000</v>
      </c>
      <c r="E15" s="118" t="n">
        <v>4020</v>
      </c>
      <c r="F15" s="118" t="n">
        <v>3800</v>
      </c>
      <c r="G15" s="118" t="n">
        <v>5150</v>
      </c>
      <c r="H15" s="118" t="n">
        <v>5500</v>
      </c>
      <c r="I15" s="118" t="n">
        <v>7740</v>
      </c>
      <c r="J15" s="119" t="n">
        <v>8800</v>
      </c>
      <c r="K15" s="120" t="n">
        <v>8860</v>
      </c>
      <c r="L15" s="118"/>
      <c r="M15" s="121" t="n">
        <f aca="false">(K15 - J15) / J15</f>
        <v>0.00681818181818182</v>
      </c>
      <c r="N15" s="119" t="n">
        <f aca="false">ABS(K15-J15)</f>
        <v>60</v>
      </c>
      <c r="O15" s="120" t="n">
        <v>8000</v>
      </c>
      <c r="P15" s="118"/>
      <c r="Q15" s="119" t="n">
        <f aca="false">(O15 - K15)</f>
        <v>-860</v>
      </c>
      <c r="R15" s="120" t="n">
        <v>8805</v>
      </c>
      <c r="S15" s="118" t="n">
        <v>805</v>
      </c>
      <c r="T15" s="122" t="n">
        <f aca="false">ABS(R15-O15)</f>
        <v>805</v>
      </c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6" customFormat="false" ht="18" hidden="false" customHeight="true" outlineLevel="0" collapsed="false">
      <c r="A16" s="129" t="s">
        <v>45</v>
      </c>
      <c r="B16" s="118" t="n">
        <v>0</v>
      </c>
      <c r="C16" s="118" t="n">
        <v>0</v>
      </c>
      <c r="D16" s="118" t="n">
        <v>0</v>
      </c>
      <c r="E16" s="118" t="n">
        <v>905.35</v>
      </c>
      <c r="F16" s="118" t="n">
        <v>931.78</v>
      </c>
      <c r="G16" s="118" t="n">
        <v>962.2</v>
      </c>
      <c r="H16" s="118" t="n">
        <v>972.83</v>
      </c>
      <c r="I16" s="118" t="n">
        <v>1028.02</v>
      </c>
      <c r="J16" s="119" t="n">
        <v>1061.14</v>
      </c>
      <c r="K16" s="120" t="n">
        <v>1063.89</v>
      </c>
      <c r="L16" s="118" t="n">
        <v>25</v>
      </c>
      <c r="M16" s="121" t="n">
        <f aca="false">(K16 - J16) / J16</f>
        <v>0.0025915524812937</v>
      </c>
      <c r="N16" s="119" t="n">
        <f aca="false">ABS(K16-J16)</f>
        <v>2.75</v>
      </c>
      <c r="O16" s="120" t="n">
        <v>1122.78</v>
      </c>
      <c r="P16" s="118" t="n">
        <v>25</v>
      </c>
      <c r="Q16" s="119" t="n">
        <f aca="false">(O16 - K16)</f>
        <v>58.8899999999999</v>
      </c>
      <c r="R16" s="120" t="n">
        <v>1144.69</v>
      </c>
      <c r="S16" s="118" t="n">
        <v>25</v>
      </c>
      <c r="T16" s="122" t="n">
        <f aca="false">ABS(R16-O16)</f>
        <v>21.9100000000001</v>
      </c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</row>
    <row r="17" customFormat="false" ht="18" hidden="false" customHeight="true" outlineLevel="0" collapsed="false">
      <c r="A17" s="130" t="s">
        <v>109</v>
      </c>
      <c r="B17" s="131" t="n">
        <f aca="false">SUM(B9:B15)</f>
        <v>20192.53</v>
      </c>
      <c r="C17" s="131" t="n">
        <f aca="false">SUM(C9:C15)</f>
        <v>20397.85</v>
      </c>
      <c r="D17" s="131" t="n">
        <f aca="false">SUM(D9:D15)</f>
        <v>21753.04</v>
      </c>
      <c r="E17" s="131" t="n">
        <f aca="false">SUM(E9:E16)</f>
        <v>23705.53</v>
      </c>
      <c r="F17" s="131" t="n">
        <f aca="false">SUM(F9:F16)</f>
        <v>23815.95</v>
      </c>
      <c r="G17" s="131" t="n">
        <f aca="false">SUM(G9:G16)</f>
        <v>27872.1</v>
      </c>
      <c r="H17" s="131" t="n">
        <f aca="false">SUM(H9:H16)</f>
        <v>24885.06</v>
      </c>
      <c r="I17" s="131" t="n">
        <f aca="false">SUM(I9:I16)</f>
        <v>30449.37</v>
      </c>
      <c r="J17" s="132" t="n">
        <f aca="false">SUM(J9:J16)</f>
        <v>33029.63</v>
      </c>
      <c r="K17" s="133" t="n">
        <f aca="false">SUM(K9:K16)</f>
        <v>35335.42</v>
      </c>
      <c r="L17" s="134" t="n">
        <f aca="false">SUM(L9:L16)</f>
        <v>2291</v>
      </c>
      <c r="M17" s="135" t="n">
        <f aca="false">(K17 - J17) / J17</f>
        <v>0.0698097435544994</v>
      </c>
      <c r="N17" s="136" t="n">
        <f aca="false">SUM(N9:N16)</f>
        <v>2305.79</v>
      </c>
      <c r="O17" s="133" t="n">
        <f aca="false">SUM(O9:O16)</f>
        <v>34887.41</v>
      </c>
      <c r="P17" s="134"/>
      <c r="Q17" s="136"/>
      <c r="R17" s="133" t="n">
        <f aca="false">SUM(R9:R16)</f>
        <v>38151</v>
      </c>
      <c r="S17" s="137"/>
      <c r="T17" s="138" t="n">
        <f aca="false">ABS(R17-O17)</f>
        <v>3263.59</v>
      </c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 customFormat="false" ht="15.75" hidden="false" customHeight="true" outlineLevel="0" collapsed="false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 customFormat="false" ht="15.75" hidden="false" customHeight="true" outlineLevel="0" collapsed="false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</row>
    <row r="20" customFormat="false" ht="18" hidden="false" customHeight="true" outlineLevel="0" collapsed="false">
      <c r="A20" s="139" t="s">
        <v>13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 customFormat="false" ht="18" hidden="false" customHeight="true" outlineLevel="0" collapsed="false">
      <c r="A21" s="140"/>
      <c r="B21" s="141" t="s">
        <v>14</v>
      </c>
      <c r="C21" s="141" t="s">
        <v>15</v>
      </c>
      <c r="D21" s="141" t="s">
        <v>16</v>
      </c>
      <c r="E21" s="141" t="s">
        <v>17</v>
      </c>
      <c r="F21" s="141" t="s">
        <v>18</v>
      </c>
      <c r="G21" s="141" t="s">
        <v>19</v>
      </c>
      <c r="H21" s="141" t="s">
        <v>20</v>
      </c>
      <c r="I21" s="141" t="s">
        <v>21</v>
      </c>
      <c r="J21" s="141" t="s">
        <v>22</v>
      </c>
      <c r="K21" s="141" t="s">
        <v>23</v>
      </c>
      <c r="L21" s="141" t="s">
        <v>24</v>
      </c>
      <c r="M21" s="141" t="s">
        <v>25</v>
      </c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customFormat="false" ht="18" hidden="false" customHeight="true" outlineLevel="0" collapsed="false">
      <c r="A22" s="143" t="s">
        <v>135</v>
      </c>
      <c r="B22" s="144"/>
      <c r="C22" s="145"/>
      <c r="D22" s="145"/>
      <c r="E22" s="145"/>
      <c r="F22" s="145"/>
      <c r="G22" s="145"/>
      <c r="H22" s="145"/>
      <c r="I22" s="145" t="n">
        <v>100.6</v>
      </c>
      <c r="J22" s="145" t="n">
        <v>107.45</v>
      </c>
      <c r="K22" s="145" t="n">
        <v>125.79</v>
      </c>
      <c r="L22" s="145" t="n">
        <v>172.78</v>
      </c>
      <c r="M22" s="145" t="n">
        <v>172.45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customFormat="false" ht="18" hidden="false" customHeight="true" outlineLevel="0" collapsed="false">
      <c r="A23" s="146" t="s">
        <v>136</v>
      </c>
      <c r="B23" s="145"/>
      <c r="C23" s="145"/>
      <c r="D23" s="145"/>
      <c r="E23" s="145"/>
      <c r="F23" s="145"/>
      <c r="G23" s="145"/>
      <c r="H23" s="145"/>
      <c r="I23" s="145" t="n">
        <v>55.59</v>
      </c>
      <c r="J23" s="145" t="n">
        <v>54.9</v>
      </c>
      <c r="K23" s="145" t="n">
        <v>61.6</v>
      </c>
      <c r="L23" s="145" t="n">
        <v>86.73</v>
      </c>
      <c r="M23" s="145" t="n">
        <v>88.84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customFormat="false" ht="18" hidden="false" customHeight="true" outlineLevel="0" collapsed="false">
      <c r="A24" s="147" t="s">
        <v>109</v>
      </c>
      <c r="B24" s="148"/>
      <c r="C24" s="148"/>
      <c r="D24" s="148"/>
      <c r="E24" s="148"/>
      <c r="F24" s="148"/>
      <c r="G24" s="148"/>
      <c r="H24" s="148"/>
      <c r="I24" s="148" t="n">
        <f aca="false">SUM(I22:I23)</f>
        <v>156.19</v>
      </c>
      <c r="J24" s="148" t="n">
        <f aca="false">SUM(J22:J23)</f>
        <v>162.35</v>
      </c>
      <c r="K24" s="148" t="n">
        <f aca="false">SUM(K22:K23)</f>
        <v>187.39</v>
      </c>
      <c r="L24" s="148" t="n">
        <f aca="false">SUM(L22:L23)</f>
        <v>259.51</v>
      </c>
      <c r="M24" s="148" t="n">
        <f aca="false">SUM(M22:M23)</f>
        <v>261.29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customFormat="false" ht="15.75" hidden="false" customHeight="true" outlineLevel="0" collapsed="false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6" customFormat="false" ht="15.75" hidden="false" customHeight="true" outlineLevel="0" collapsed="false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</row>
    <row r="27" customFormat="false" ht="15.75" hidden="false" customHeight="true" outlineLevel="0" collapsed="false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</row>
    <row r="28" customFormat="false" ht="15.75" hidden="false" customHeight="true" outlineLevel="0" collapsed="false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</row>
    <row r="29" customFormat="false" ht="15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</row>
    <row r="30" customFormat="false" ht="15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</row>
    <row r="31" customFormat="false" ht="15.7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</row>
    <row r="32" customFormat="false" ht="15.7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  <row r="33" customFormat="false" ht="15.7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</row>
    <row r="35" customFormat="false" ht="15.75" hidden="false" customHeight="true" outlineLevel="0" collapsed="false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</row>
    <row r="36" customFormat="false" ht="15.75" hidden="false" customHeight="true" outlineLevel="0" collapsed="false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</row>
    <row r="37" customFormat="false" ht="15.75" hidden="false" customHeight="true" outlineLevel="0" collapsed="false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</row>
    <row r="38" customFormat="false" ht="15.75" hidden="false" customHeight="true" outlineLevel="0" collapsed="false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</row>
    <row r="39" customFormat="false" ht="15.75" hidden="false" customHeight="true" outlineLevel="0" collapsed="false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</row>
    <row r="40" customFormat="false" ht="15.75" hidden="false" customHeight="true" outlineLevel="0" collapsed="false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</row>
    <row r="41" customFormat="false" ht="15.75" hidden="false" customHeight="true" outlineLevel="0" collapsed="false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</row>
    <row r="42" customFormat="false" ht="15.75" hidden="false" customHeight="true" outlineLevel="0" collapsed="false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</row>
    <row r="43" customFormat="false" ht="15.75" hidden="false" customHeight="true" outlineLevel="0" collapsed="false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</row>
    <row r="44" customFormat="false" ht="15.75" hidden="false" customHeight="true" outlineLevel="0" collapsed="false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</row>
    <row r="45" customFormat="false" ht="15.75" hidden="false" customHeight="true" outlineLevel="0" collapsed="false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</row>
    <row r="46" customFormat="false" ht="15.75" hidden="false" customHeight="true" outlineLevel="0" collapsed="false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</row>
    <row r="47" customFormat="false" ht="15.75" hidden="false" customHeight="true" outlineLevel="0" collapsed="false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</row>
    <row r="48" customFormat="false" ht="15.75" hidden="false" customHeight="true" outlineLevel="0" collapsed="false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</row>
    <row r="49" customFormat="false" ht="15.75" hidden="false" customHeight="true" outlineLevel="0" collapsed="false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</row>
    <row r="50" customFormat="false" ht="15.75" hidden="false" customHeight="true" outlineLevel="0" collapsed="false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</row>
    <row r="51" customFormat="false" ht="15.75" hidden="false" customHeight="true" outlineLevel="0" collapsed="false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</row>
    <row r="52" customFormat="false" ht="15.75" hidden="false" customHeight="true" outlineLevel="0" collapsed="false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</row>
    <row r="53" customFormat="false" ht="15.75" hidden="false" customHeight="true" outlineLevel="0" collapsed="false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</row>
    <row r="54" customFormat="false" ht="15.75" hidden="false" customHeight="true" outlineLevel="0" collapsed="false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</row>
    <row r="55" customFormat="false" ht="15.75" hidden="false" customHeight="true" outlineLevel="0" collapsed="false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</row>
    <row r="56" customFormat="false" ht="15.75" hidden="false" customHeight="true" outlineLevel="0" collapsed="false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</row>
    <row r="57" customFormat="false" ht="15.75" hidden="false" customHeight="true" outlineLevel="0" collapsed="false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</row>
    <row r="58" customFormat="false" ht="15.75" hidden="false" customHeight="true" outlineLevel="0" collapsed="false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</row>
    <row r="59" customFormat="false" ht="15.75" hidden="false" customHeight="true" outlineLevel="0" collapsed="false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</row>
    <row r="60" customFormat="false" ht="15.75" hidden="false" customHeight="true" outlineLevel="0" collapsed="false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</row>
    <row r="61" customFormat="false" ht="15.75" hidden="false" customHeight="true" outlineLevel="0" collapsed="false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</row>
    <row r="62" customFormat="false" ht="15.75" hidden="false" customHeight="true" outlineLevel="0" collapsed="false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</row>
    <row r="63" customFormat="false" ht="15.75" hidden="false" customHeight="true" outlineLevel="0" collapsed="false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</row>
    <row r="64" customFormat="false" ht="15.75" hidden="false" customHeight="true" outlineLevel="0" collapsed="false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</row>
    <row r="65" customFormat="false" ht="15.75" hidden="false" customHeight="true" outlineLevel="0" collapsed="false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</row>
    <row r="66" customFormat="false" ht="15.75" hidden="false" customHeight="true" outlineLevel="0" collapsed="false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</row>
    <row r="67" customFormat="false" ht="15.75" hidden="false" customHeight="true" outlineLevel="0" collapsed="false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</row>
    <row r="68" customFormat="false" ht="15.75" hidden="false" customHeight="true" outlineLevel="0" collapsed="false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</row>
    <row r="69" customFormat="false" ht="15.75" hidden="false" customHeight="true" outlineLevel="0" collapsed="false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</row>
    <row r="70" customFormat="false" ht="15.75" hidden="false" customHeight="true" outlineLevel="0" collapsed="false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</row>
    <row r="71" customFormat="false" ht="15.75" hidden="false" customHeight="true" outlineLevel="0" collapsed="false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</row>
    <row r="72" customFormat="false" ht="15.75" hidden="false" customHeight="true" outlineLevel="0" collapsed="false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</row>
    <row r="73" customFormat="false" ht="15.75" hidden="false" customHeight="true" outlineLevel="0" collapsed="false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</row>
    <row r="74" customFormat="false" ht="15.75" hidden="false" customHeight="true" outlineLevel="0" collapsed="false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</row>
    <row r="75" customFormat="false" ht="15.75" hidden="false" customHeight="true" outlineLevel="0" collapsed="false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</row>
    <row r="76" customFormat="false" ht="15.75" hidden="false" customHeight="true" outlineLevel="0" collapsed="false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</row>
    <row r="77" customFormat="false" ht="15.75" hidden="false" customHeight="true" outlineLevel="0" collapsed="false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 customFormat="false" ht="15.75" hidden="false" customHeight="true" outlineLevel="0" collapsed="false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 customFormat="false" ht="15.75" hidden="false" customHeight="true" outlineLevel="0" collapsed="false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 customFormat="false" ht="15.75" hidden="false" customHeight="true" outlineLevel="0" collapsed="false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</row>
    <row r="81" customFormat="false" ht="15.75" hidden="false" customHeight="true" outlineLevel="0" collapsed="false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 customFormat="false" ht="15.75" hidden="false" customHeight="true" outlineLevel="0" collapsed="false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</row>
    <row r="83" customFormat="false" ht="15.75" hidden="false" customHeight="true" outlineLevel="0" collapsed="false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</row>
    <row r="84" customFormat="false" ht="15.75" hidden="false" customHeight="true" outlineLevel="0" collapsed="false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</row>
    <row r="85" customFormat="false" ht="15.75" hidden="false" customHeight="true" outlineLevel="0" collapsed="false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</row>
    <row r="86" customFormat="false" ht="15.75" hidden="false" customHeight="true" outlineLevel="0" collapsed="false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</row>
    <row r="87" customFormat="false" ht="15.75" hidden="false" customHeight="true" outlineLevel="0" collapsed="false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</row>
    <row r="88" customFormat="false" ht="15.75" hidden="false" customHeight="true" outlineLevel="0" collapsed="false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</row>
    <row r="89" customFormat="false" ht="15.75" hidden="false" customHeight="true" outlineLevel="0" collapsed="false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</row>
    <row r="90" customFormat="false" ht="15.75" hidden="false" customHeight="true" outlineLevel="0" collapsed="false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</row>
    <row r="91" customFormat="false" ht="15.75" hidden="false" customHeight="true" outlineLevel="0" collapsed="false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</row>
    <row r="92" customFormat="false" ht="15.75" hidden="false" customHeight="true" outlineLevel="0" collapsed="false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</row>
    <row r="93" customFormat="false" ht="15.75" hidden="false" customHeight="true" outlineLevel="0" collapsed="false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</row>
    <row r="94" customFormat="false" ht="15.75" hidden="false" customHeight="true" outlineLevel="0" collapsed="false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</row>
    <row r="95" customFormat="false" ht="15.75" hidden="false" customHeight="true" outlineLevel="0" collapsed="false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</row>
    <row r="96" customFormat="false" ht="15.75" hidden="false" customHeight="true" outlineLevel="0" collapsed="false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</row>
    <row r="97" customFormat="false" ht="15.75" hidden="false" customHeight="true" outlineLevel="0" collapsed="false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</row>
    <row r="98" customFormat="false" ht="15.75" hidden="false" customHeight="true" outlineLevel="0" collapsed="false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</row>
    <row r="99" customFormat="false" ht="15.75" hidden="false" customHeight="true" outlineLevel="0" collapsed="false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 customFormat="false" ht="15.75" hidden="false" customHeight="true" outlineLevel="0" collapsed="false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 customFormat="false" ht="15.75" hidden="false" customHeight="true" outlineLevel="0" collapsed="false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</row>
    <row r="102" customFormat="false" ht="15.75" hidden="false" customHeight="true" outlineLevel="0" collapsed="false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</row>
    <row r="103" customFormat="false" ht="15.75" hidden="false" customHeight="true" outlineLevel="0" collapsed="false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</row>
    <row r="104" customFormat="false" ht="15.75" hidden="false" customHeight="true" outlineLevel="0" collapsed="false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</row>
    <row r="105" customFormat="false" ht="15.75" hidden="false" customHeight="true" outlineLevel="0" collapsed="false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</row>
    <row r="106" customFormat="false" ht="15.75" hidden="false" customHeight="true" outlineLevel="0" collapsed="false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</row>
    <row r="107" customFormat="false" ht="15.75" hidden="false" customHeight="true" outlineLevel="0" collapsed="false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</row>
    <row r="108" customFormat="false" ht="15.75" hidden="false" customHeight="true" outlineLevel="0" collapsed="false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</row>
    <row r="109" customFormat="false" ht="15.75" hidden="false" customHeight="true" outlineLevel="0" collapsed="false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</row>
    <row r="110" customFormat="false" ht="15.75" hidden="false" customHeight="true" outlineLevel="0" collapsed="false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</row>
    <row r="111" customFormat="false" ht="15.75" hidden="false" customHeight="true" outlineLevel="0" collapsed="false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</row>
    <row r="112" customFormat="false" ht="15.75" hidden="false" customHeight="true" outlineLevel="0" collapsed="false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</row>
    <row r="113" customFormat="false" ht="15.75" hidden="false" customHeight="true" outlineLevel="0" collapsed="false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</row>
    <row r="114" customFormat="false" ht="15.75" hidden="false" customHeight="true" outlineLevel="0" collapsed="false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</row>
    <row r="115" customFormat="false" ht="15.75" hidden="false" customHeight="true" outlineLevel="0" collapsed="false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</row>
    <row r="116" customFormat="false" ht="15.75" hidden="false" customHeight="true" outlineLevel="0" collapsed="false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</row>
    <row r="117" customFormat="false" ht="15.75" hidden="false" customHeight="true" outlineLevel="0" collapsed="false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</row>
    <row r="118" customFormat="false" ht="15.75" hidden="false" customHeight="true" outlineLevel="0" collapsed="false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</row>
    <row r="119" customFormat="false" ht="15.75" hidden="false" customHeight="true" outlineLevel="0" collapsed="false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</row>
    <row r="120" customFormat="false" ht="15.75" hidden="false" customHeight="true" outlineLevel="0" collapsed="false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</row>
    <row r="121" customFormat="false" ht="15.75" hidden="false" customHeight="true" outlineLevel="0" collapsed="false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</row>
    <row r="122" customFormat="false" ht="15.75" hidden="false" customHeight="true" outlineLevel="0" collapsed="false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</row>
    <row r="123" customFormat="false" ht="15.75" hidden="false" customHeight="true" outlineLevel="0" collapsed="false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</row>
    <row r="124" customFormat="false" ht="15.75" hidden="false" customHeight="true" outlineLevel="0" collapsed="false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</row>
    <row r="125" customFormat="false" ht="15.75" hidden="false" customHeight="true" outlineLevel="0" collapsed="false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</row>
    <row r="126" customFormat="false" ht="15.75" hidden="false" customHeight="true" outlineLevel="0" collapsed="false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</row>
    <row r="127" customFormat="false" ht="15.75" hidden="false" customHeight="true" outlineLevel="0" collapsed="false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</row>
    <row r="128" customFormat="false" ht="15.75" hidden="false" customHeight="true" outlineLevel="0" collapsed="false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</row>
    <row r="129" customFormat="false" ht="15.75" hidden="false" customHeight="true" outlineLevel="0" collapsed="false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</row>
    <row r="130" customFormat="false" ht="15.75" hidden="false" customHeight="true" outlineLevel="0" collapsed="false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</row>
    <row r="131" customFormat="false" ht="15.75" hidden="false" customHeight="true" outlineLevel="0" collapsed="false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</row>
    <row r="132" customFormat="false" ht="15.75" hidden="false" customHeight="true" outlineLevel="0" collapsed="false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</row>
    <row r="133" customFormat="false" ht="15.75" hidden="false" customHeight="true" outlineLevel="0" collapsed="false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</row>
    <row r="134" customFormat="false" ht="15.75" hidden="false" customHeight="true" outlineLevel="0" collapsed="false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</row>
    <row r="135" customFormat="false" ht="15.75" hidden="false" customHeight="true" outlineLevel="0" collapsed="false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</row>
    <row r="136" customFormat="false" ht="15.75" hidden="false" customHeight="true" outlineLevel="0" collapsed="false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</row>
    <row r="137" customFormat="false" ht="15.75" hidden="false" customHeight="true" outlineLevel="0" collapsed="false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</row>
    <row r="138" customFormat="false" ht="15.75" hidden="false" customHeight="true" outlineLevel="0" collapsed="false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</row>
    <row r="139" customFormat="false" ht="15.75" hidden="false" customHeight="true" outlineLevel="0" collapsed="false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</row>
    <row r="140" customFormat="false" ht="15.75" hidden="false" customHeight="true" outlineLevel="0" collapsed="false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</row>
    <row r="141" customFormat="false" ht="15.75" hidden="false" customHeight="true" outlineLevel="0" collapsed="false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</row>
    <row r="142" customFormat="false" ht="15.75" hidden="false" customHeight="true" outlineLevel="0" collapsed="false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</row>
    <row r="143" customFormat="false" ht="15.75" hidden="false" customHeight="true" outlineLevel="0" collapsed="false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</row>
    <row r="144" customFormat="false" ht="15.75" hidden="false" customHeight="true" outlineLevel="0" collapsed="false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</row>
    <row r="145" customFormat="false" ht="15.75" hidden="false" customHeight="true" outlineLevel="0" collapsed="false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</row>
    <row r="146" customFormat="false" ht="15.75" hidden="false" customHeight="true" outlineLevel="0" collapsed="false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</row>
    <row r="147" customFormat="false" ht="15.75" hidden="false" customHeight="true" outlineLevel="0" collapsed="false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</row>
    <row r="148" customFormat="false" ht="15.75" hidden="false" customHeight="true" outlineLevel="0" collapsed="false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</row>
    <row r="149" customFormat="false" ht="15.75" hidden="false" customHeight="true" outlineLevel="0" collapsed="false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</row>
    <row r="150" customFormat="false" ht="15.75" hidden="false" customHeight="true" outlineLevel="0" collapsed="false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</row>
    <row r="151" customFormat="false" ht="15.75" hidden="false" customHeight="true" outlineLevel="0" collapsed="false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</row>
    <row r="152" customFormat="false" ht="15.75" hidden="false" customHeight="true" outlineLevel="0" collapsed="false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</row>
    <row r="153" customFormat="false" ht="15.75" hidden="false" customHeight="true" outlineLevel="0" collapsed="false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</row>
    <row r="154" customFormat="false" ht="15.75" hidden="false" customHeight="true" outlineLevel="0" collapsed="false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</row>
    <row r="155" customFormat="false" ht="15.75" hidden="false" customHeight="true" outlineLevel="0" collapsed="false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</row>
    <row r="156" customFormat="false" ht="15.75" hidden="false" customHeight="true" outlineLevel="0" collapsed="false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</row>
    <row r="157" customFormat="false" ht="15.75" hidden="false" customHeight="true" outlineLevel="0" collapsed="false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</row>
    <row r="158" customFormat="false" ht="15.75" hidden="false" customHeight="true" outlineLevel="0" collapsed="false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</row>
    <row r="159" customFormat="false" ht="15.75" hidden="false" customHeight="true" outlineLevel="0" collapsed="false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</row>
    <row r="160" customFormat="false" ht="15.75" hidden="false" customHeight="true" outlineLevel="0" collapsed="false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</row>
    <row r="161" customFormat="false" ht="15.75" hidden="false" customHeight="true" outlineLevel="0" collapsed="false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</row>
    <row r="162" customFormat="false" ht="15.75" hidden="false" customHeight="true" outlineLevel="0" collapsed="false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</row>
    <row r="163" customFormat="false" ht="15.75" hidden="false" customHeight="true" outlineLevel="0" collapsed="false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</row>
    <row r="164" customFormat="false" ht="15.75" hidden="false" customHeight="true" outlineLevel="0" collapsed="false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</row>
    <row r="165" customFormat="false" ht="15.75" hidden="false" customHeight="true" outlineLevel="0" collapsed="false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</row>
    <row r="166" customFormat="false" ht="15.75" hidden="false" customHeight="true" outlineLevel="0" collapsed="false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</row>
    <row r="167" customFormat="false" ht="15.75" hidden="false" customHeight="true" outlineLevel="0" collapsed="false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</row>
    <row r="168" customFormat="false" ht="15.75" hidden="false" customHeight="true" outlineLevel="0" collapsed="false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</row>
    <row r="169" customFormat="false" ht="15.75" hidden="false" customHeight="true" outlineLevel="0" collapsed="false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</row>
    <row r="170" customFormat="false" ht="15.75" hidden="false" customHeight="true" outlineLevel="0" collapsed="false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</row>
    <row r="171" customFormat="false" ht="15.75" hidden="false" customHeight="true" outlineLevel="0" collapsed="false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</row>
    <row r="172" customFormat="false" ht="15.75" hidden="false" customHeight="true" outlineLevel="0" collapsed="false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</row>
    <row r="173" customFormat="false" ht="15.75" hidden="false" customHeight="true" outlineLevel="0" collapsed="false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</row>
    <row r="174" customFormat="false" ht="15.75" hidden="false" customHeight="true" outlineLevel="0" collapsed="false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</row>
    <row r="175" customFormat="false" ht="15.75" hidden="false" customHeight="true" outlineLevel="0" collapsed="false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</row>
    <row r="176" customFormat="false" ht="15.75" hidden="false" customHeight="true" outlineLevel="0" collapsed="false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</row>
    <row r="177" customFormat="false" ht="15.75" hidden="false" customHeight="true" outlineLevel="0" collapsed="false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</row>
    <row r="178" customFormat="false" ht="15.75" hidden="false" customHeight="true" outlineLevel="0" collapsed="false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</row>
    <row r="179" customFormat="false" ht="15.75" hidden="false" customHeight="true" outlineLevel="0" collapsed="false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</row>
    <row r="180" customFormat="false" ht="15.75" hidden="false" customHeight="true" outlineLevel="0" collapsed="false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</row>
    <row r="181" customFormat="false" ht="15.75" hidden="false" customHeight="true" outlineLevel="0" collapsed="false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</row>
    <row r="182" customFormat="false" ht="15.75" hidden="false" customHeight="true" outlineLevel="0" collapsed="false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</row>
    <row r="183" customFormat="false" ht="15.75" hidden="false" customHeight="true" outlineLevel="0" collapsed="false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</row>
    <row r="184" customFormat="false" ht="15.75" hidden="false" customHeight="true" outlineLevel="0" collapsed="false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</row>
    <row r="185" customFormat="false" ht="15.75" hidden="false" customHeight="true" outlineLevel="0" collapsed="false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</row>
    <row r="186" customFormat="false" ht="15.75" hidden="false" customHeight="true" outlineLevel="0" collapsed="false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</row>
    <row r="187" customFormat="false" ht="15.75" hidden="false" customHeight="true" outlineLevel="0" collapsed="false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</row>
    <row r="188" customFormat="false" ht="15.75" hidden="false" customHeight="true" outlineLevel="0" collapsed="false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</row>
    <row r="189" customFormat="false" ht="15.75" hidden="false" customHeight="true" outlineLevel="0" collapsed="false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</row>
    <row r="190" customFormat="false" ht="15.75" hidden="false" customHeight="true" outlineLevel="0" collapsed="false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</row>
    <row r="191" customFormat="false" ht="15.75" hidden="false" customHeight="true" outlineLevel="0" collapsed="false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</row>
    <row r="192" customFormat="false" ht="15.75" hidden="false" customHeight="true" outlineLevel="0" collapsed="false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</row>
    <row r="193" customFormat="false" ht="15.75" hidden="false" customHeight="true" outlineLevel="0" collapsed="false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</row>
    <row r="194" customFormat="false" ht="15.75" hidden="false" customHeight="true" outlineLevel="0" collapsed="false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</row>
    <row r="195" customFormat="false" ht="15.75" hidden="false" customHeight="true" outlineLevel="0" collapsed="false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</row>
    <row r="196" customFormat="false" ht="15.75" hidden="false" customHeight="true" outlineLevel="0" collapsed="false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</row>
    <row r="197" customFormat="false" ht="15.75" hidden="false" customHeight="true" outlineLevel="0" collapsed="false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</row>
    <row r="198" customFormat="false" ht="15.75" hidden="false" customHeight="true" outlineLevel="0" collapsed="false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</row>
    <row r="199" customFormat="false" ht="15.75" hidden="false" customHeight="true" outlineLevel="0" collapsed="false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</row>
    <row r="200" customFormat="false" ht="15.75" hidden="false" customHeight="true" outlineLevel="0" collapsed="false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</row>
    <row r="201" customFormat="false" ht="15.75" hidden="false" customHeight="true" outlineLevel="0" collapsed="false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</row>
    <row r="202" customFormat="false" ht="15.75" hidden="false" customHeight="true" outlineLevel="0" collapsed="false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</row>
    <row r="203" customFormat="false" ht="15.75" hidden="false" customHeight="true" outlineLevel="0" collapsed="false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</row>
    <row r="204" customFormat="false" ht="15.75" hidden="false" customHeight="true" outlineLevel="0" collapsed="false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</row>
    <row r="205" customFormat="false" ht="15.75" hidden="false" customHeight="true" outlineLevel="0" collapsed="false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</row>
    <row r="206" customFormat="false" ht="15.75" hidden="false" customHeight="true" outlineLevel="0" collapsed="false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</row>
    <row r="207" customFormat="false" ht="15.75" hidden="false" customHeight="true" outlineLevel="0" collapsed="false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</row>
    <row r="208" customFormat="false" ht="15.75" hidden="false" customHeight="true" outlineLevel="0" collapsed="false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</row>
    <row r="209" customFormat="false" ht="15.75" hidden="false" customHeight="true" outlineLevel="0" collapsed="false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</row>
    <row r="210" customFormat="false" ht="15.75" hidden="false" customHeight="true" outlineLevel="0" collapsed="false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</row>
    <row r="211" customFormat="false" ht="15.75" hidden="false" customHeight="true" outlineLevel="0" collapsed="false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</row>
    <row r="212" customFormat="false" ht="15.75" hidden="false" customHeight="true" outlineLevel="0" collapsed="false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</row>
    <row r="213" customFormat="false" ht="15.75" hidden="false" customHeight="true" outlineLevel="0" collapsed="false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</row>
    <row r="214" customFormat="false" ht="15.75" hidden="false" customHeight="true" outlineLevel="0" collapsed="false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</row>
    <row r="215" customFormat="false" ht="15.75" hidden="false" customHeight="true" outlineLevel="0" collapsed="false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</row>
    <row r="216" customFormat="false" ht="15.75" hidden="false" customHeight="true" outlineLevel="0" collapsed="false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</row>
    <row r="217" customFormat="false" ht="15.75" hidden="false" customHeight="true" outlineLevel="0" collapsed="false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</row>
    <row r="218" customFormat="false" ht="15.75" hidden="false" customHeight="true" outlineLevel="0" collapsed="false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</row>
    <row r="219" customFormat="false" ht="15.75" hidden="false" customHeight="true" outlineLevel="0" collapsed="false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</row>
    <row r="220" customFormat="false" ht="15.75" hidden="false" customHeight="true" outlineLevel="0" collapsed="false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</row>
    <row r="221" customFormat="false" ht="15.75" hidden="false" customHeight="true" outlineLevel="0" collapsed="false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</row>
    <row r="222" customFormat="false" ht="15.75" hidden="false" customHeight="true" outlineLevel="0" collapsed="false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</row>
    <row r="223" customFormat="false" ht="15.75" hidden="false" customHeight="true" outlineLevel="0" collapsed="false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</row>
    <row r="224" customFormat="false" ht="15.75" hidden="false" customHeight="true" outlineLevel="0" collapsed="false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</row>
    <row r="225" customFormat="false" ht="15.75" hidden="false" customHeight="true" outlineLevel="0" collapsed="false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</row>
    <row r="226" customFormat="false" ht="15.75" hidden="false" customHeight="true" outlineLevel="0" collapsed="false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</row>
    <row r="227" customFormat="false" ht="15.75" hidden="false" customHeight="true" outlineLevel="0" collapsed="false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</row>
    <row r="228" customFormat="false" ht="15.75" hidden="false" customHeight="true" outlineLevel="0" collapsed="false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</row>
    <row r="229" customFormat="false" ht="15.75" hidden="false" customHeight="true" outlineLevel="0" collapsed="false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</row>
    <row r="230" customFormat="false" ht="15.75" hidden="false" customHeight="true" outlineLevel="0" collapsed="false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</row>
    <row r="231" customFormat="false" ht="15.75" hidden="false" customHeight="true" outlineLevel="0" collapsed="false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</row>
    <row r="232" customFormat="false" ht="15.75" hidden="false" customHeight="true" outlineLevel="0" collapsed="false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</row>
    <row r="233" customFormat="false" ht="15.75" hidden="false" customHeight="true" outlineLevel="0" collapsed="false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</row>
    <row r="234" customFormat="false" ht="15.75" hidden="false" customHeight="true" outlineLevel="0" collapsed="false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</row>
    <row r="235" customFormat="false" ht="15.75" hidden="false" customHeight="true" outlineLevel="0" collapsed="false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</row>
    <row r="236" customFormat="false" ht="15.75" hidden="false" customHeight="true" outlineLevel="0" collapsed="false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</row>
    <row r="237" customFormat="false" ht="15.75" hidden="false" customHeight="true" outlineLevel="0" collapsed="false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</row>
    <row r="238" customFormat="false" ht="15.75" hidden="false" customHeight="true" outlineLevel="0" collapsed="false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</row>
    <row r="239" customFormat="false" ht="15.75" hidden="false" customHeight="true" outlineLevel="0" collapsed="false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</row>
    <row r="240" customFormat="false" ht="15.75" hidden="false" customHeight="true" outlineLevel="0" collapsed="false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</row>
    <row r="241" customFormat="false" ht="15.75" hidden="false" customHeight="true" outlineLevel="0" collapsed="false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</row>
    <row r="242" customFormat="false" ht="15.75" hidden="false" customHeight="true" outlineLevel="0" collapsed="false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</row>
    <row r="243" customFormat="false" ht="15.75" hidden="false" customHeight="true" outlineLevel="0" collapsed="false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</row>
    <row r="244" customFormat="false" ht="15.75" hidden="false" customHeight="true" outlineLevel="0" collapsed="false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</row>
    <row r="245" customFormat="false" ht="15.75" hidden="false" customHeight="true" outlineLevel="0" collapsed="false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</row>
    <row r="246" customFormat="false" ht="15.75" hidden="false" customHeight="true" outlineLevel="0" collapsed="false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</row>
    <row r="247" customFormat="false" ht="15.75" hidden="false" customHeight="true" outlineLevel="0" collapsed="false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</row>
    <row r="248" customFormat="false" ht="15.75" hidden="false" customHeight="true" outlineLevel="0" collapsed="false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</row>
    <row r="249" customFormat="false" ht="15.75" hidden="false" customHeight="true" outlineLevel="0" collapsed="false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</row>
    <row r="250" customFormat="false" ht="15.75" hidden="false" customHeight="true" outlineLevel="0" collapsed="false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</row>
    <row r="251" customFormat="false" ht="15.75" hidden="false" customHeight="true" outlineLevel="0" collapsed="false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</row>
    <row r="252" customFormat="false" ht="15.75" hidden="false" customHeight="true" outlineLevel="0" collapsed="false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</row>
    <row r="253" customFormat="false" ht="15.75" hidden="false" customHeight="true" outlineLevel="0" collapsed="false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</row>
    <row r="254" customFormat="false" ht="15.75" hidden="false" customHeight="true" outlineLevel="0" collapsed="false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</row>
    <row r="255" customFormat="false" ht="15.75" hidden="false" customHeight="true" outlineLevel="0" collapsed="false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</row>
    <row r="256" customFormat="false" ht="15.75" hidden="false" customHeight="true" outlineLevel="0" collapsed="false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</row>
    <row r="257" customFormat="false" ht="15.75" hidden="false" customHeight="true" outlineLevel="0" collapsed="false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</row>
    <row r="258" customFormat="false" ht="15.75" hidden="false" customHeight="true" outlineLevel="0" collapsed="false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</row>
    <row r="259" customFormat="false" ht="15.75" hidden="false" customHeight="true" outlineLevel="0" collapsed="false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</row>
    <row r="260" customFormat="false" ht="15.75" hidden="false" customHeight="true" outlineLevel="0" collapsed="false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</row>
    <row r="261" customFormat="false" ht="15.75" hidden="false" customHeight="true" outlineLevel="0" collapsed="false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</row>
    <row r="262" customFormat="false" ht="15.75" hidden="false" customHeight="true" outlineLevel="0" collapsed="false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</row>
    <row r="263" customFormat="false" ht="15.75" hidden="false" customHeight="true" outlineLevel="0" collapsed="false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</row>
    <row r="264" customFormat="false" ht="15.75" hidden="false" customHeight="true" outlineLevel="0" collapsed="false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</row>
    <row r="265" customFormat="false" ht="15.75" hidden="false" customHeight="true" outlineLevel="0" collapsed="false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</row>
    <row r="266" customFormat="false" ht="15.75" hidden="false" customHeight="true" outlineLevel="0" collapsed="false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</row>
    <row r="267" customFormat="false" ht="15.75" hidden="false" customHeight="true" outlineLevel="0" collapsed="false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</row>
    <row r="268" customFormat="false" ht="15.75" hidden="false" customHeight="true" outlineLevel="0" collapsed="false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</row>
    <row r="269" customFormat="false" ht="15.75" hidden="false" customHeight="true" outlineLevel="0" collapsed="false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</row>
    <row r="270" customFormat="false" ht="15.75" hidden="false" customHeight="true" outlineLevel="0" collapsed="false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</row>
    <row r="271" customFormat="false" ht="15.75" hidden="false" customHeight="true" outlineLevel="0" collapsed="false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</row>
    <row r="272" customFormat="false" ht="15.75" hidden="false" customHeight="true" outlineLevel="0" collapsed="false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</row>
    <row r="273" customFormat="false" ht="15.75" hidden="false" customHeight="true" outlineLevel="0" collapsed="false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</row>
    <row r="274" customFormat="false" ht="15.75" hidden="false" customHeight="true" outlineLevel="0" collapsed="false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</row>
    <row r="275" customFormat="false" ht="15.75" hidden="false" customHeight="true" outlineLevel="0" collapsed="false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</row>
    <row r="276" customFormat="false" ht="15.75" hidden="false" customHeight="true" outlineLevel="0" collapsed="false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</row>
    <row r="277" customFormat="false" ht="15.75" hidden="false" customHeight="true" outlineLevel="0" collapsed="false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</row>
    <row r="278" customFormat="false" ht="15.75" hidden="false" customHeight="true" outlineLevel="0" collapsed="false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</row>
    <row r="279" customFormat="false" ht="15.75" hidden="false" customHeight="true" outlineLevel="0" collapsed="false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</row>
    <row r="280" customFormat="false" ht="15.75" hidden="false" customHeight="true" outlineLevel="0" collapsed="false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</row>
    <row r="281" customFormat="false" ht="15.75" hidden="false" customHeight="true" outlineLevel="0" collapsed="false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</row>
    <row r="282" customFormat="false" ht="15.75" hidden="false" customHeight="true" outlineLevel="0" collapsed="false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</row>
    <row r="283" customFormat="false" ht="15.75" hidden="false" customHeight="true" outlineLevel="0" collapsed="false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</row>
    <row r="284" customFormat="false" ht="15.75" hidden="false" customHeight="true" outlineLevel="0" collapsed="false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</row>
    <row r="285" customFormat="false" ht="15.75" hidden="false" customHeight="true" outlineLevel="0" collapsed="false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</row>
    <row r="286" customFormat="false" ht="15.75" hidden="false" customHeight="true" outlineLevel="0" collapsed="false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</row>
    <row r="287" customFormat="false" ht="15.75" hidden="false" customHeight="true" outlineLevel="0" collapsed="false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</row>
    <row r="288" customFormat="false" ht="15.75" hidden="false" customHeight="true" outlineLevel="0" collapsed="false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</row>
    <row r="289" customFormat="false" ht="15.75" hidden="false" customHeight="true" outlineLevel="0" collapsed="false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</row>
    <row r="290" customFormat="false" ht="15.75" hidden="false" customHeight="true" outlineLevel="0" collapsed="false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</row>
    <row r="291" customFormat="false" ht="15.75" hidden="false" customHeight="true" outlineLevel="0" collapsed="false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</row>
    <row r="292" customFormat="false" ht="15.75" hidden="false" customHeight="true" outlineLevel="0" collapsed="false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</row>
    <row r="293" customFormat="false" ht="15.75" hidden="false" customHeight="true" outlineLevel="0" collapsed="false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</row>
    <row r="294" customFormat="false" ht="15.75" hidden="false" customHeight="true" outlineLevel="0" collapsed="false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</row>
    <row r="295" customFormat="false" ht="15.75" hidden="false" customHeight="true" outlineLevel="0" collapsed="false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</row>
    <row r="296" customFormat="false" ht="15.75" hidden="false" customHeight="true" outlineLevel="0" collapsed="false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</row>
    <row r="297" customFormat="false" ht="15.75" hidden="false" customHeight="true" outlineLevel="0" collapsed="false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</row>
    <row r="298" customFormat="false" ht="15.75" hidden="false" customHeight="true" outlineLevel="0" collapsed="false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</row>
    <row r="299" customFormat="false" ht="15.75" hidden="false" customHeight="true" outlineLevel="0" collapsed="false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</row>
    <row r="300" customFormat="false" ht="15.75" hidden="false" customHeight="true" outlineLevel="0" collapsed="false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</row>
    <row r="301" customFormat="false" ht="15.75" hidden="false" customHeight="true" outlineLevel="0" collapsed="false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</row>
    <row r="302" customFormat="false" ht="15.75" hidden="false" customHeight="true" outlineLevel="0" collapsed="false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</row>
    <row r="303" customFormat="false" ht="15.75" hidden="false" customHeight="true" outlineLevel="0" collapsed="false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</row>
    <row r="304" customFormat="false" ht="15.75" hidden="false" customHeight="true" outlineLevel="0" collapsed="false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</row>
    <row r="305" customFormat="false" ht="15.75" hidden="false" customHeight="true" outlineLevel="0" collapsed="false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</row>
    <row r="306" customFormat="false" ht="15.75" hidden="false" customHeight="true" outlineLevel="0" collapsed="false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</row>
    <row r="307" customFormat="false" ht="15.75" hidden="false" customHeight="true" outlineLevel="0" collapsed="false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</row>
    <row r="308" customFormat="false" ht="15.75" hidden="false" customHeight="true" outlineLevel="0" collapsed="false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</row>
    <row r="309" customFormat="false" ht="15.75" hidden="false" customHeight="true" outlineLevel="0" collapsed="false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</row>
    <row r="310" customFormat="false" ht="15.75" hidden="false" customHeight="true" outlineLevel="0" collapsed="false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</row>
    <row r="311" customFormat="false" ht="15.75" hidden="false" customHeight="true" outlineLevel="0" collapsed="false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</row>
    <row r="312" customFormat="false" ht="15.75" hidden="false" customHeight="true" outlineLevel="0" collapsed="false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</row>
    <row r="313" customFormat="false" ht="15.75" hidden="false" customHeight="true" outlineLevel="0" collapsed="false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</row>
    <row r="314" customFormat="false" ht="15.75" hidden="false" customHeight="true" outlineLevel="0" collapsed="false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</row>
    <row r="315" customFormat="false" ht="15.75" hidden="false" customHeight="true" outlineLevel="0" collapsed="false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</row>
    <row r="316" customFormat="false" ht="15.75" hidden="false" customHeight="true" outlineLevel="0" collapsed="false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</row>
    <row r="317" customFormat="false" ht="15.75" hidden="false" customHeight="true" outlineLevel="0" collapsed="false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</row>
    <row r="318" customFormat="false" ht="15.75" hidden="false" customHeight="true" outlineLevel="0" collapsed="false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</row>
    <row r="319" customFormat="false" ht="15.75" hidden="false" customHeight="true" outlineLevel="0" collapsed="false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</row>
    <row r="320" customFormat="false" ht="15.75" hidden="false" customHeight="true" outlineLevel="0" collapsed="false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</row>
    <row r="321" customFormat="false" ht="15.75" hidden="false" customHeight="true" outlineLevel="0" collapsed="false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</row>
    <row r="322" customFormat="false" ht="15.75" hidden="false" customHeight="true" outlineLevel="0" collapsed="false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</row>
    <row r="323" customFormat="false" ht="15.75" hidden="false" customHeight="true" outlineLevel="0" collapsed="false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</row>
    <row r="324" customFormat="false" ht="15.75" hidden="false" customHeight="true" outlineLevel="0" collapsed="false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</row>
    <row r="325" customFormat="false" ht="15.75" hidden="false" customHeight="true" outlineLevel="0" collapsed="false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</row>
    <row r="326" customFormat="false" ht="15.75" hidden="false" customHeight="true" outlineLevel="0" collapsed="false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</row>
    <row r="327" customFormat="false" ht="15.75" hidden="false" customHeight="true" outlineLevel="0" collapsed="false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</row>
    <row r="328" customFormat="false" ht="15.75" hidden="false" customHeight="true" outlineLevel="0" collapsed="false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</row>
    <row r="329" customFormat="false" ht="15.75" hidden="false" customHeight="true" outlineLevel="0" collapsed="false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</row>
    <row r="330" customFormat="false" ht="15.75" hidden="false" customHeight="true" outlineLevel="0" collapsed="false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</row>
    <row r="331" customFormat="false" ht="15.75" hidden="false" customHeight="true" outlineLevel="0" collapsed="false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</row>
    <row r="332" customFormat="false" ht="15.75" hidden="false" customHeight="true" outlineLevel="0" collapsed="false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</row>
    <row r="333" customFormat="false" ht="15.75" hidden="false" customHeight="true" outlineLevel="0" collapsed="false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</row>
    <row r="334" customFormat="false" ht="15.75" hidden="false" customHeight="true" outlineLevel="0" collapsed="false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</row>
    <row r="335" customFormat="false" ht="15.75" hidden="false" customHeight="true" outlineLevel="0" collapsed="false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</row>
    <row r="336" customFormat="false" ht="15.75" hidden="false" customHeight="true" outlineLevel="0" collapsed="false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</row>
    <row r="337" customFormat="false" ht="15.75" hidden="false" customHeight="true" outlineLevel="0" collapsed="false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</row>
    <row r="338" customFormat="false" ht="15.75" hidden="false" customHeight="true" outlineLevel="0" collapsed="false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</row>
    <row r="339" customFormat="false" ht="15.75" hidden="false" customHeight="true" outlineLevel="0" collapsed="false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</row>
    <row r="340" customFormat="false" ht="15.75" hidden="false" customHeight="true" outlineLevel="0" collapsed="false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</row>
    <row r="341" customFormat="false" ht="15.75" hidden="false" customHeight="true" outlineLevel="0" collapsed="false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</row>
    <row r="342" customFormat="false" ht="15.75" hidden="false" customHeight="true" outlineLevel="0" collapsed="false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</row>
    <row r="343" customFormat="false" ht="15.75" hidden="false" customHeight="true" outlineLevel="0" collapsed="false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</row>
    <row r="344" customFormat="false" ht="15.75" hidden="false" customHeight="true" outlineLevel="0" collapsed="false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</row>
    <row r="345" customFormat="false" ht="15.75" hidden="false" customHeight="true" outlineLevel="0" collapsed="false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</row>
    <row r="346" customFormat="false" ht="15.75" hidden="false" customHeight="true" outlineLevel="0" collapsed="false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</row>
    <row r="347" customFormat="false" ht="15.75" hidden="false" customHeight="true" outlineLevel="0" collapsed="false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</row>
    <row r="348" customFormat="false" ht="15.75" hidden="false" customHeight="true" outlineLevel="0" collapsed="false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</row>
    <row r="349" customFormat="false" ht="15.75" hidden="false" customHeight="true" outlineLevel="0" collapsed="false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</row>
    <row r="350" customFormat="false" ht="15.75" hidden="false" customHeight="true" outlineLevel="0" collapsed="false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</row>
    <row r="351" customFormat="false" ht="15.75" hidden="false" customHeight="true" outlineLevel="0" collapsed="false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</row>
    <row r="352" customFormat="false" ht="15.75" hidden="false" customHeight="true" outlineLevel="0" collapsed="false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</row>
    <row r="353" customFormat="false" ht="15.75" hidden="false" customHeight="true" outlineLevel="0" collapsed="false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</row>
    <row r="354" customFormat="false" ht="15.75" hidden="false" customHeight="true" outlineLevel="0" collapsed="false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</row>
    <row r="355" customFormat="false" ht="15.75" hidden="false" customHeight="true" outlineLevel="0" collapsed="false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</row>
    <row r="356" customFormat="false" ht="15.75" hidden="false" customHeight="true" outlineLevel="0" collapsed="false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</row>
    <row r="357" customFormat="false" ht="15.75" hidden="false" customHeight="true" outlineLevel="0" collapsed="false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</row>
    <row r="358" customFormat="false" ht="15.75" hidden="false" customHeight="true" outlineLevel="0" collapsed="false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</row>
    <row r="359" customFormat="false" ht="15.75" hidden="false" customHeight="true" outlineLevel="0" collapsed="false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</row>
    <row r="360" customFormat="false" ht="15.75" hidden="false" customHeight="true" outlineLevel="0" collapsed="false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</row>
    <row r="361" customFormat="false" ht="15.75" hidden="false" customHeight="true" outlineLevel="0" collapsed="false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</row>
    <row r="362" customFormat="false" ht="15.75" hidden="false" customHeight="true" outlineLevel="0" collapsed="false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</row>
    <row r="363" customFormat="false" ht="15.75" hidden="false" customHeight="true" outlineLevel="0" collapsed="false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</row>
    <row r="364" customFormat="false" ht="15.75" hidden="false" customHeight="true" outlineLevel="0" collapsed="false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</row>
    <row r="365" customFormat="false" ht="15.75" hidden="false" customHeight="true" outlineLevel="0" collapsed="false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</row>
    <row r="366" customFormat="false" ht="15.75" hidden="false" customHeight="true" outlineLevel="0" collapsed="false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</row>
    <row r="367" customFormat="false" ht="15.75" hidden="false" customHeight="true" outlineLevel="0" collapsed="false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</row>
    <row r="368" customFormat="false" ht="15.75" hidden="false" customHeight="true" outlineLevel="0" collapsed="false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</row>
    <row r="369" customFormat="false" ht="15.75" hidden="false" customHeight="true" outlineLevel="0" collapsed="false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</row>
    <row r="370" customFormat="false" ht="15.75" hidden="false" customHeight="true" outlineLevel="0" collapsed="false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</row>
    <row r="371" customFormat="false" ht="15.75" hidden="false" customHeight="true" outlineLevel="0" collapsed="false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</row>
    <row r="372" customFormat="false" ht="15.75" hidden="false" customHeight="true" outlineLevel="0" collapsed="false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</row>
    <row r="373" customFormat="false" ht="15.75" hidden="false" customHeight="true" outlineLevel="0" collapsed="false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</row>
    <row r="374" customFormat="false" ht="15.75" hidden="false" customHeight="true" outlineLevel="0" collapsed="false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</row>
    <row r="375" customFormat="false" ht="15.75" hidden="false" customHeight="true" outlineLevel="0" collapsed="false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</row>
    <row r="376" customFormat="false" ht="15.75" hidden="false" customHeight="true" outlineLevel="0" collapsed="false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</row>
    <row r="377" customFormat="false" ht="15.75" hidden="false" customHeight="true" outlineLevel="0" collapsed="false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</row>
    <row r="378" customFormat="false" ht="15.75" hidden="false" customHeight="true" outlineLevel="0" collapsed="false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</row>
    <row r="379" customFormat="false" ht="15.75" hidden="false" customHeight="true" outlineLevel="0" collapsed="false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</row>
    <row r="380" customFormat="false" ht="15.75" hidden="false" customHeight="true" outlineLevel="0" collapsed="false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</row>
    <row r="381" customFormat="false" ht="15.75" hidden="false" customHeight="true" outlineLevel="0" collapsed="false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</row>
    <row r="382" customFormat="false" ht="15.75" hidden="false" customHeight="true" outlineLevel="0" collapsed="false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</row>
    <row r="383" customFormat="false" ht="15.75" hidden="false" customHeight="true" outlineLevel="0" collapsed="false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</row>
    <row r="384" customFormat="false" ht="15.75" hidden="false" customHeight="true" outlineLevel="0" collapsed="false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</row>
    <row r="385" customFormat="false" ht="15.75" hidden="false" customHeight="true" outlineLevel="0" collapsed="false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</row>
    <row r="386" customFormat="false" ht="15.75" hidden="false" customHeight="true" outlineLevel="0" collapsed="false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</row>
    <row r="387" customFormat="false" ht="15.75" hidden="false" customHeight="true" outlineLevel="0" collapsed="false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</row>
    <row r="388" customFormat="false" ht="15.75" hidden="false" customHeight="true" outlineLevel="0" collapsed="false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</row>
    <row r="389" customFormat="false" ht="15.75" hidden="false" customHeight="true" outlineLevel="0" collapsed="false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</row>
    <row r="390" customFormat="false" ht="15.75" hidden="false" customHeight="true" outlineLevel="0" collapsed="false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</row>
    <row r="391" customFormat="false" ht="15.75" hidden="false" customHeight="true" outlineLevel="0" collapsed="false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</row>
    <row r="392" customFormat="false" ht="15.75" hidden="false" customHeight="true" outlineLevel="0" collapsed="false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</row>
    <row r="393" customFormat="false" ht="15.75" hidden="false" customHeight="true" outlineLevel="0" collapsed="false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</row>
    <row r="394" customFormat="false" ht="15.75" hidden="false" customHeight="true" outlineLevel="0" collapsed="false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</row>
    <row r="395" customFormat="false" ht="15.75" hidden="false" customHeight="true" outlineLevel="0" collapsed="false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</row>
    <row r="396" customFormat="false" ht="15.75" hidden="false" customHeight="true" outlineLevel="0" collapsed="false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</row>
    <row r="397" customFormat="false" ht="15.75" hidden="false" customHeight="true" outlineLevel="0" collapsed="false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</row>
    <row r="398" customFormat="false" ht="15.75" hidden="false" customHeight="true" outlineLevel="0" collapsed="false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</row>
    <row r="399" customFormat="false" ht="15.75" hidden="false" customHeight="true" outlineLevel="0" collapsed="false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</row>
    <row r="400" customFormat="false" ht="15.75" hidden="false" customHeight="true" outlineLevel="0" collapsed="false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</row>
    <row r="401" customFormat="false" ht="15.75" hidden="false" customHeight="true" outlineLevel="0" collapsed="false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</row>
    <row r="402" customFormat="false" ht="15.75" hidden="false" customHeight="true" outlineLevel="0" collapsed="false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</row>
    <row r="403" customFormat="false" ht="15.75" hidden="false" customHeight="true" outlineLevel="0" collapsed="false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</row>
    <row r="404" customFormat="false" ht="15.75" hidden="false" customHeight="true" outlineLevel="0" collapsed="false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</row>
    <row r="405" customFormat="false" ht="15.75" hidden="false" customHeight="true" outlineLevel="0" collapsed="false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</row>
    <row r="406" customFormat="false" ht="15.75" hidden="false" customHeight="true" outlineLevel="0" collapsed="false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</row>
    <row r="407" customFormat="false" ht="15.75" hidden="false" customHeight="true" outlineLevel="0" collapsed="false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</row>
    <row r="408" customFormat="false" ht="15.75" hidden="false" customHeight="true" outlineLevel="0" collapsed="false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</row>
    <row r="409" customFormat="false" ht="15.75" hidden="false" customHeight="true" outlineLevel="0" collapsed="false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</row>
    <row r="410" customFormat="false" ht="15.75" hidden="false" customHeight="true" outlineLevel="0" collapsed="false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</row>
    <row r="411" customFormat="false" ht="15.75" hidden="false" customHeight="true" outlineLevel="0" collapsed="false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</row>
    <row r="412" customFormat="false" ht="15.75" hidden="false" customHeight="true" outlineLevel="0" collapsed="false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</row>
    <row r="413" customFormat="false" ht="15.75" hidden="false" customHeight="true" outlineLevel="0" collapsed="false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</row>
    <row r="414" customFormat="false" ht="15.75" hidden="false" customHeight="true" outlineLevel="0" collapsed="false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</row>
    <row r="415" customFormat="false" ht="15.75" hidden="false" customHeight="true" outlineLevel="0" collapsed="false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</row>
    <row r="416" customFormat="false" ht="15.75" hidden="false" customHeight="true" outlineLevel="0" collapsed="false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</row>
    <row r="417" customFormat="false" ht="15.75" hidden="false" customHeight="true" outlineLevel="0" collapsed="false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</row>
    <row r="418" customFormat="false" ht="15.75" hidden="false" customHeight="true" outlineLevel="0" collapsed="false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</row>
    <row r="419" customFormat="false" ht="15.75" hidden="false" customHeight="true" outlineLevel="0" collapsed="false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</row>
    <row r="420" customFormat="false" ht="15.75" hidden="false" customHeight="true" outlineLevel="0" collapsed="false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</row>
    <row r="421" customFormat="false" ht="15.75" hidden="false" customHeight="true" outlineLevel="0" collapsed="false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</row>
    <row r="422" customFormat="false" ht="15.75" hidden="false" customHeight="true" outlineLevel="0" collapsed="false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</row>
    <row r="423" customFormat="false" ht="15.75" hidden="false" customHeight="true" outlineLevel="0" collapsed="false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</row>
    <row r="424" customFormat="false" ht="15.75" hidden="false" customHeight="true" outlineLevel="0" collapsed="false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</row>
    <row r="425" customFormat="false" ht="15.75" hidden="false" customHeight="true" outlineLevel="0" collapsed="false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</row>
    <row r="426" customFormat="false" ht="15.75" hidden="false" customHeight="true" outlineLevel="0" collapsed="false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</row>
    <row r="427" customFormat="false" ht="15.75" hidden="false" customHeight="true" outlineLevel="0" collapsed="false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</row>
    <row r="428" customFormat="false" ht="15.75" hidden="false" customHeight="true" outlineLevel="0" collapsed="false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</row>
    <row r="429" customFormat="false" ht="15.75" hidden="false" customHeight="true" outlineLevel="0" collapsed="false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</row>
    <row r="430" customFormat="false" ht="15.75" hidden="false" customHeight="true" outlineLevel="0" collapsed="false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</row>
    <row r="431" customFormat="false" ht="15.75" hidden="false" customHeight="true" outlineLevel="0" collapsed="false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</row>
    <row r="432" customFormat="false" ht="15.75" hidden="false" customHeight="true" outlineLevel="0" collapsed="false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</row>
    <row r="433" customFormat="false" ht="15.75" hidden="false" customHeight="true" outlineLevel="0" collapsed="false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</row>
    <row r="434" customFormat="false" ht="15.75" hidden="false" customHeight="true" outlineLevel="0" collapsed="false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</row>
    <row r="435" customFormat="false" ht="15.75" hidden="false" customHeight="true" outlineLevel="0" collapsed="false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</row>
    <row r="436" customFormat="false" ht="15.75" hidden="false" customHeight="true" outlineLevel="0" collapsed="false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</row>
    <row r="437" customFormat="false" ht="15.75" hidden="false" customHeight="true" outlineLevel="0" collapsed="false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</row>
    <row r="438" customFormat="false" ht="15.75" hidden="false" customHeight="true" outlineLevel="0" collapsed="false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</row>
    <row r="439" customFormat="false" ht="15.75" hidden="false" customHeight="true" outlineLevel="0" collapsed="false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</row>
    <row r="440" customFormat="false" ht="15.75" hidden="false" customHeight="true" outlineLevel="0" collapsed="false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</row>
    <row r="441" customFormat="false" ht="15.75" hidden="false" customHeight="true" outlineLevel="0" collapsed="false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</row>
    <row r="442" customFormat="false" ht="15.75" hidden="false" customHeight="true" outlineLevel="0" collapsed="false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</row>
    <row r="443" customFormat="false" ht="15.75" hidden="false" customHeight="true" outlineLevel="0" collapsed="false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</row>
    <row r="444" customFormat="false" ht="15.75" hidden="false" customHeight="true" outlineLevel="0" collapsed="false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</row>
    <row r="445" customFormat="false" ht="15.75" hidden="false" customHeight="true" outlineLevel="0" collapsed="false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</row>
    <row r="446" customFormat="false" ht="15.75" hidden="false" customHeight="true" outlineLevel="0" collapsed="false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</row>
    <row r="447" customFormat="false" ht="15.75" hidden="false" customHeight="true" outlineLevel="0" collapsed="false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</row>
    <row r="448" customFormat="false" ht="15.75" hidden="false" customHeight="true" outlineLevel="0" collapsed="false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</row>
    <row r="449" customFormat="false" ht="15.75" hidden="false" customHeight="true" outlineLevel="0" collapsed="false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</row>
    <row r="450" customFormat="false" ht="15.75" hidden="false" customHeight="true" outlineLevel="0" collapsed="false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</row>
    <row r="451" customFormat="false" ht="15.75" hidden="false" customHeight="true" outlineLevel="0" collapsed="false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</row>
    <row r="452" customFormat="false" ht="15.75" hidden="false" customHeight="true" outlineLevel="0" collapsed="false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</row>
    <row r="453" customFormat="false" ht="15.75" hidden="false" customHeight="true" outlineLevel="0" collapsed="false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</row>
    <row r="454" customFormat="false" ht="15.75" hidden="false" customHeight="true" outlineLevel="0" collapsed="false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</row>
    <row r="455" customFormat="false" ht="15.75" hidden="false" customHeight="true" outlineLevel="0" collapsed="false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</row>
    <row r="456" customFormat="false" ht="15.75" hidden="false" customHeight="true" outlineLevel="0" collapsed="false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</row>
    <row r="457" customFormat="false" ht="15.75" hidden="false" customHeight="true" outlineLevel="0" collapsed="false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</row>
    <row r="458" customFormat="false" ht="15.75" hidden="false" customHeight="true" outlineLevel="0" collapsed="false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</row>
    <row r="459" customFormat="false" ht="15.75" hidden="false" customHeight="true" outlineLevel="0" collapsed="false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</row>
    <row r="460" customFormat="false" ht="15.75" hidden="false" customHeight="true" outlineLevel="0" collapsed="false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</row>
    <row r="461" customFormat="false" ht="15.75" hidden="false" customHeight="true" outlineLevel="0" collapsed="false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</row>
    <row r="462" customFormat="false" ht="15.75" hidden="false" customHeight="true" outlineLevel="0" collapsed="false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</row>
    <row r="463" customFormat="false" ht="15.75" hidden="false" customHeight="true" outlineLevel="0" collapsed="false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</row>
    <row r="464" customFormat="false" ht="15.75" hidden="false" customHeight="true" outlineLevel="0" collapsed="false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</row>
    <row r="465" customFormat="false" ht="15.75" hidden="false" customHeight="true" outlineLevel="0" collapsed="false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</row>
    <row r="466" customFormat="false" ht="15.75" hidden="false" customHeight="true" outlineLevel="0" collapsed="false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</row>
    <row r="467" customFormat="false" ht="15.75" hidden="false" customHeight="true" outlineLevel="0" collapsed="false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</row>
    <row r="468" customFormat="false" ht="15.75" hidden="false" customHeight="true" outlineLevel="0" collapsed="false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</row>
    <row r="469" customFormat="false" ht="15.75" hidden="false" customHeight="true" outlineLevel="0" collapsed="false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</row>
    <row r="470" customFormat="false" ht="15.75" hidden="false" customHeight="true" outlineLevel="0" collapsed="false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</row>
    <row r="471" customFormat="false" ht="15.75" hidden="false" customHeight="true" outlineLevel="0" collapsed="false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</row>
    <row r="472" customFormat="false" ht="15.75" hidden="false" customHeight="true" outlineLevel="0" collapsed="false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</row>
    <row r="473" customFormat="false" ht="15.75" hidden="false" customHeight="true" outlineLevel="0" collapsed="false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</row>
    <row r="474" customFormat="false" ht="15.75" hidden="false" customHeight="true" outlineLevel="0" collapsed="false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</row>
    <row r="475" customFormat="false" ht="15.75" hidden="false" customHeight="true" outlineLevel="0" collapsed="false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</row>
    <row r="476" customFormat="false" ht="15.75" hidden="false" customHeight="true" outlineLevel="0" collapsed="false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</row>
    <row r="477" customFormat="false" ht="15.75" hidden="false" customHeight="true" outlineLevel="0" collapsed="false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</row>
    <row r="478" customFormat="false" ht="15.75" hidden="false" customHeight="true" outlineLevel="0" collapsed="false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</row>
    <row r="479" customFormat="false" ht="15.75" hidden="false" customHeight="true" outlineLevel="0" collapsed="false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</row>
    <row r="480" customFormat="false" ht="15.75" hidden="false" customHeight="true" outlineLevel="0" collapsed="false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</row>
    <row r="481" customFormat="false" ht="15.75" hidden="false" customHeight="true" outlineLevel="0" collapsed="false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</row>
    <row r="482" customFormat="false" ht="15.75" hidden="false" customHeight="true" outlineLevel="0" collapsed="false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</row>
    <row r="483" customFormat="false" ht="15.75" hidden="false" customHeight="true" outlineLevel="0" collapsed="false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</row>
    <row r="484" customFormat="false" ht="15.75" hidden="false" customHeight="true" outlineLevel="0" collapsed="false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</row>
    <row r="485" customFormat="false" ht="15.75" hidden="false" customHeight="true" outlineLevel="0" collapsed="false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</row>
    <row r="486" customFormat="false" ht="15.75" hidden="false" customHeight="true" outlineLevel="0" collapsed="false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</row>
    <row r="487" customFormat="false" ht="15.75" hidden="false" customHeight="true" outlineLevel="0" collapsed="false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</row>
    <row r="488" customFormat="false" ht="15.75" hidden="false" customHeight="true" outlineLevel="0" collapsed="false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</row>
    <row r="489" customFormat="false" ht="15.75" hidden="false" customHeight="true" outlineLevel="0" collapsed="false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</row>
    <row r="490" customFormat="false" ht="15.75" hidden="false" customHeight="true" outlineLevel="0" collapsed="false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</row>
    <row r="491" customFormat="false" ht="15.75" hidden="false" customHeight="true" outlineLevel="0" collapsed="false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</row>
    <row r="492" customFormat="false" ht="15.75" hidden="false" customHeight="true" outlineLevel="0" collapsed="false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</row>
    <row r="493" customFormat="false" ht="15.75" hidden="false" customHeight="true" outlineLevel="0" collapsed="false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</row>
    <row r="494" customFormat="false" ht="15.75" hidden="false" customHeight="true" outlineLevel="0" collapsed="false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</row>
    <row r="495" customFormat="false" ht="15.75" hidden="false" customHeight="true" outlineLevel="0" collapsed="false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</row>
    <row r="496" customFormat="false" ht="15.75" hidden="false" customHeight="true" outlineLevel="0" collapsed="false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</row>
    <row r="497" customFormat="false" ht="15.75" hidden="false" customHeight="true" outlineLevel="0" collapsed="false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</row>
    <row r="498" customFormat="false" ht="15.75" hidden="false" customHeight="true" outlineLevel="0" collapsed="false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</row>
    <row r="499" customFormat="false" ht="15.75" hidden="false" customHeight="true" outlineLevel="0" collapsed="false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</row>
    <row r="500" customFormat="false" ht="15.75" hidden="false" customHeight="true" outlineLevel="0" collapsed="false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</row>
    <row r="501" customFormat="false" ht="15.75" hidden="false" customHeight="true" outlineLevel="0" collapsed="false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</row>
    <row r="502" customFormat="false" ht="15.75" hidden="false" customHeight="true" outlineLevel="0" collapsed="false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</row>
    <row r="503" customFormat="false" ht="15.75" hidden="false" customHeight="true" outlineLevel="0" collapsed="false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</row>
    <row r="504" customFormat="false" ht="15.75" hidden="false" customHeight="true" outlineLevel="0" collapsed="false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</row>
    <row r="505" customFormat="false" ht="15.75" hidden="false" customHeight="true" outlineLevel="0" collapsed="false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</row>
    <row r="506" customFormat="false" ht="15.75" hidden="false" customHeight="true" outlineLevel="0" collapsed="false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</row>
    <row r="507" customFormat="false" ht="15.75" hidden="false" customHeight="true" outlineLevel="0" collapsed="false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</row>
    <row r="508" customFormat="false" ht="15.75" hidden="false" customHeight="true" outlineLevel="0" collapsed="false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</row>
    <row r="509" customFormat="false" ht="15.75" hidden="false" customHeight="true" outlineLevel="0" collapsed="false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</row>
    <row r="510" customFormat="false" ht="15.75" hidden="false" customHeight="true" outlineLevel="0" collapsed="false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</row>
    <row r="511" customFormat="false" ht="15.75" hidden="false" customHeight="true" outlineLevel="0" collapsed="false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</row>
    <row r="512" customFormat="false" ht="15.75" hidden="false" customHeight="true" outlineLevel="0" collapsed="false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</row>
    <row r="513" customFormat="false" ht="15.75" hidden="false" customHeight="true" outlineLevel="0" collapsed="false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</row>
    <row r="514" customFormat="false" ht="15.75" hidden="false" customHeight="true" outlineLevel="0" collapsed="false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</row>
    <row r="515" customFormat="false" ht="15.75" hidden="false" customHeight="true" outlineLevel="0" collapsed="false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</row>
    <row r="516" customFormat="false" ht="15.75" hidden="false" customHeight="true" outlineLevel="0" collapsed="false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</row>
    <row r="517" customFormat="false" ht="15.75" hidden="false" customHeight="true" outlineLevel="0" collapsed="false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</row>
    <row r="518" customFormat="false" ht="15.75" hidden="false" customHeight="true" outlineLevel="0" collapsed="false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</row>
    <row r="519" customFormat="false" ht="15.75" hidden="false" customHeight="true" outlineLevel="0" collapsed="false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</row>
    <row r="520" customFormat="false" ht="15.75" hidden="false" customHeight="true" outlineLevel="0" collapsed="false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</row>
    <row r="521" customFormat="false" ht="15.75" hidden="false" customHeight="true" outlineLevel="0" collapsed="false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</row>
    <row r="522" customFormat="false" ht="15.75" hidden="false" customHeight="true" outlineLevel="0" collapsed="false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</row>
    <row r="523" customFormat="false" ht="15.75" hidden="false" customHeight="true" outlineLevel="0" collapsed="false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</row>
    <row r="524" customFormat="false" ht="15.75" hidden="false" customHeight="true" outlineLevel="0" collapsed="false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</row>
    <row r="525" customFormat="false" ht="15.75" hidden="false" customHeight="true" outlineLevel="0" collapsed="false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</row>
    <row r="526" customFormat="false" ht="15.75" hidden="false" customHeight="true" outlineLevel="0" collapsed="false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</row>
    <row r="527" customFormat="false" ht="15.75" hidden="false" customHeight="true" outlineLevel="0" collapsed="false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</row>
    <row r="528" customFormat="false" ht="15.75" hidden="false" customHeight="true" outlineLevel="0" collapsed="false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</row>
    <row r="529" customFormat="false" ht="15.75" hidden="false" customHeight="true" outlineLevel="0" collapsed="false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</row>
    <row r="530" customFormat="false" ht="15.75" hidden="false" customHeight="true" outlineLevel="0" collapsed="false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</row>
    <row r="531" customFormat="false" ht="15.75" hidden="false" customHeight="true" outlineLevel="0" collapsed="false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</row>
    <row r="532" customFormat="false" ht="15.75" hidden="false" customHeight="true" outlineLevel="0" collapsed="false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</row>
    <row r="533" customFormat="false" ht="15.75" hidden="false" customHeight="true" outlineLevel="0" collapsed="false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</row>
    <row r="534" customFormat="false" ht="15.75" hidden="false" customHeight="true" outlineLevel="0" collapsed="false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</row>
    <row r="535" customFormat="false" ht="15.75" hidden="false" customHeight="true" outlineLevel="0" collapsed="false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</row>
    <row r="536" customFormat="false" ht="15.75" hidden="false" customHeight="true" outlineLevel="0" collapsed="false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</row>
    <row r="537" customFormat="false" ht="15.75" hidden="false" customHeight="true" outlineLevel="0" collapsed="false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</row>
    <row r="538" customFormat="false" ht="15.75" hidden="false" customHeight="true" outlineLevel="0" collapsed="false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</row>
    <row r="539" customFormat="false" ht="15.75" hidden="false" customHeight="true" outlineLevel="0" collapsed="false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</row>
    <row r="540" customFormat="false" ht="15.75" hidden="false" customHeight="true" outlineLevel="0" collapsed="false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</row>
    <row r="541" customFormat="false" ht="15.75" hidden="false" customHeight="true" outlineLevel="0" collapsed="false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</row>
    <row r="542" customFormat="false" ht="15.75" hidden="false" customHeight="true" outlineLevel="0" collapsed="false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</row>
    <row r="543" customFormat="false" ht="15.75" hidden="false" customHeight="true" outlineLevel="0" collapsed="false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</row>
    <row r="544" customFormat="false" ht="15.75" hidden="false" customHeight="true" outlineLevel="0" collapsed="false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</row>
    <row r="545" customFormat="false" ht="15.75" hidden="false" customHeight="true" outlineLevel="0" collapsed="false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</row>
    <row r="546" customFormat="false" ht="15.75" hidden="false" customHeight="true" outlineLevel="0" collapsed="false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</row>
    <row r="547" customFormat="false" ht="15.75" hidden="false" customHeight="true" outlineLevel="0" collapsed="false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</row>
    <row r="548" customFormat="false" ht="15.75" hidden="false" customHeight="true" outlineLevel="0" collapsed="false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</row>
    <row r="549" customFormat="false" ht="15.75" hidden="false" customHeight="true" outlineLevel="0" collapsed="false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</row>
    <row r="550" customFormat="false" ht="15.75" hidden="false" customHeight="true" outlineLevel="0" collapsed="false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</row>
    <row r="551" customFormat="false" ht="15.75" hidden="false" customHeight="true" outlineLevel="0" collapsed="false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</row>
    <row r="552" customFormat="false" ht="15.75" hidden="false" customHeight="true" outlineLevel="0" collapsed="false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</row>
    <row r="553" customFormat="false" ht="15.75" hidden="false" customHeight="true" outlineLevel="0" collapsed="false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</row>
    <row r="554" customFormat="false" ht="15.75" hidden="false" customHeight="true" outlineLevel="0" collapsed="false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</row>
    <row r="555" customFormat="false" ht="15.75" hidden="false" customHeight="true" outlineLevel="0" collapsed="false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</row>
    <row r="556" customFormat="false" ht="15.75" hidden="false" customHeight="true" outlineLevel="0" collapsed="false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</row>
    <row r="557" customFormat="false" ht="15.75" hidden="false" customHeight="true" outlineLevel="0" collapsed="false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</row>
    <row r="558" customFormat="false" ht="15.75" hidden="false" customHeight="true" outlineLevel="0" collapsed="false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</row>
    <row r="559" customFormat="false" ht="15.75" hidden="false" customHeight="true" outlineLevel="0" collapsed="false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</row>
    <row r="560" customFormat="false" ht="15.75" hidden="false" customHeight="true" outlineLevel="0" collapsed="false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</row>
    <row r="561" customFormat="false" ht="15.75" hidden="false" customHeight="true" outlineLevel="0" collapsed="false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</row>
    <row r="562" customFormat="false" ht="15.75" hidden="false" customHeight="true" outlineLevel="0" collapsed="false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</row>
    <row r="563" customFormat="false" ht="15.75" hidden="false" customHeight="true" outlineLevel="0" collapsed="false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</row>
    <row r="564" customFormat="false" ht="15.75" hidden="false" customHeight="true" outlineLevel="0" collapsed="false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</row>
    <row r="565" customFormat="false" ht="15.75" hidden="false" customHeight="true" outlineLevel="0" collapsed="false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</row>
    <row r="566" customFormat="false" ht="15.75" hidden="false" customHeight="true" outlineLevel="0" collapsed="false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</row>
    <row r="567" customFormat="false" ht="15.75" hidden="false" customHeight="true" outlineLevel="0" collapsed="false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</row>
    <row r="568" customFormat="false" ht="15.75" hidden="false" customHeight="true" outlineLevel="0" collapsed="false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</row>
    <row r="569" customFormat="false" ht="15.75" hidden="false" customHeight="true" outlineLevel="0" collapsed="false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</row>
    <row r="570" customFormat="false" ht="15.75" hidden="false" customHeight="true" outlineLevel="0" collapsed="false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</row>
    <row r="571" customFormat="false" ht="15.75" hidden="false" customHeight="true" outlineLevel="0" collapsed="false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</row>
    <row r="572" customFormat="false" ht="15.75" hidden="false" customHeight="true" outlineLevel="0" collapsed="false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</row>
    <row r="573" customFormat="false" ht="15.75" hidden="false" customHeight="true" outlineLevel="0" collapsed="false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</row>
    <row r="574" customFormat="false" ht="15.75" hidden="false" customHeight="true" outlineLevel="0" collapsed="false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</row>
    <row r="575" customFormat="false" ht="15.75" hidden="false" customHeight="true" outlineLevel="0" collapsed="false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</row>
    <row r="576" customFormat="false" ht="15.75" hidden="false" customHeight="true" outlineLevel="0" collapsed="false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</row>
    <row r="577" customFormat="false" ht="15.75" hidden="false" customHeight="true" outlineLevel="0" collapsed="false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</row>
    <row r="578" customFormat="false" ht="15.75" hidden="false" customHeight="true" outlineLevel="0" collapsed="false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</row>
    <row r="579" customFormat="false" ht="15.75" hidden="false" customHeight="true" outlineLevel="0" collapsed="false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</row>
    <row r="580" customFormat="false" ht="15.75" hidden="false" customHeight="true" outlineLevel="0" collapsed="false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</row>
    <row r="581" customFormat="false" ht="15.75" hidden="false" customHeight="true" outlineLevel="0" collapsed="false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</row>
    <row r="582" customFormat="false" ht="15.75" hidden="false" customHeight="true" outlineLevel="0" collapsed="false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</row>
    <row r="583" customFormat="false" ht="15.75" hidden="false" customHeight="true" outlineLevel="0" collapsed="false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</row>
    <row r="584" customFormat="false" ht="15.75" hidden="false" customHeight="true" outlineLevel="0" collapsed="false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</row>
    <row r="585" customFormat="false" ht="15.75" hidden="false" customHeight="true" outlineLevel="0" collapsed="false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</row>
    <row r="586" customFormat="false" ht="15.75" hidden="false" customHeight="true" outlineLevel="0" collapsed="false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</row>
    <row r="587" customFormat="false" ht="15.75" hidden="false" customHeight="true" outlineLevel="0" collapsed="false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</row>
    <row r="588" customFormat="false" ht="15.75" hidden="false" customHeight="true" outlineLevel="0" collapsed="false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</row>
    <row r="589" customFormat="false" ht="15.75" hidden="false" customHeight="true" outlineLevel="0" collapsed="false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</row>
    <row r="590" customFormat="false" ht="15.75" hidden="false" customHeight="true" outlineLevel="0" collapsed="false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</row>
    <row r="591" customFormat="false" ht="15.75" hidden="false" customHeight="true" outlineLevel="0" collapsed="false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</row>
    <row r="592" customFormat="false" ht="15.75" hidden="false" customHeight="true" outlineLevel="0" collapsed="false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</row>
    <row r="593" customFormat="false" ht="15.75" hidden="false" customHeight="true" outlineLevel="0" collapsed="false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</row>
    <row r="594" customFormat="false" ht="15.75" hidden="false" customHeight="true" outlineLevel="0" collapsed="false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</row>
    <row r="595" customFormat="false" ht="15.75" hidden="false" customHeight="true" outlineLevel="0" collapsed="false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</row>
    <row r="596" customFormat="false" ht="15.75" hidden="false" customHeight="true" outlineLevel="0" collapsed="false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</row>
    <row r="597" customFormat="false" ht="15.75" hidden="false" customHeight="true" outlineLevel="0" collapsed="false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</row>
    <row r="598" customFormat="false" ht="15.75" hidden="false" customHeight="true" outlineLevel="0" collapsed="false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</row>
    <row r="599" customFormat="false" ht="15.75" hidden="false" customHeight="true" outlineLevel="0" collapsed="false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</row>
    <row r="600" customFormat="false" ht="15.75" hidden="false" customHeight="true" outlineLevel="0" collapsed="false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</row>
    <row r="601" customFormat="false" ht="15.75" hidden="false" customHeight="true" outlineLevel="0" collapsed="false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</row>
    <row r="602" customFormat="false" ht="15.75" hidden="false" customHeight="true" outlineLevel="0" collapsed="false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</row>
    <row r="603" customFormat="false" ht="15.75" hidden="false" customHeight="true" outlineLevel="0" collapsed="false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</row>
    <row r="604" customFormat="false" ht="15.75" hidden="false" customHeight="true" outlineLevel="0" collapsed="false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</row>
    <row r="605" customFormat="false" ht="15.75" hidden="false" customHeight="true" outlineLevel="0" collapsed="false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</row>
    <row r="606" customFormat="false" ht="15.75" hidden="false" customHeight="true" outlineLevel="0" collapsed="false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</row>
    <row r="607" customFormat="false" ht="15.75" hidden="false" customHeight="true" outlineLevel="0" collapsed="false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</row>
    <row r="608" customFormat="false" ht="15.75" hidden="false" customHeight="true" outlineLevel="0" collapsed="false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</row>
    <row r="609" customFormat="false" ht="15.75" hidden="false" customHeight="true" outlineLevel="0" collapsed="false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</row>
    <row r="610" customFormat="false" ht="15.75" hidden="false" customHeight="true" outlineLevel="0" collapsed="false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</row>
    <row r="611" customFormat="false" ht="15.75" hidden="false" customHeight="true" outlineLevel="0" collapsed="false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</row>
    <row r="612" customFormat="false" ht="15.75" hidden="false" customHeight="true" outlineLevel="0" collapsed="false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</row>
    <row r="613" customFormat="false" ht="15.75" hidden="false" customHeight="true" outlineLevel="0" collapsed="false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</row>
    <row r="614" customFormat="false" ht="15.75" hidden="false" customHeight="true" outlineLevel="0" collapsed="false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</row>
    <row r="615" customFormat="false" ht="15.75" hidden="false" customHeight="true" outlineLevel="0" collapsed="false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</row>
    <row r="616" customFormat="false" ht="15.75" hidden="false" customHeight="true" outlineLevel="0" collapsed="false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</row>
    <row r="617" customFormat="false" ht="15.75" hidden="false" customHeight="true" outlineLevel="0" collapsed="false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</row>
    <row r="618" customFormat="false" ht="15.75" hidden="false" customHeight="true" outlineLevel="0" collapsed="false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</row>
    <row r="619" customFormat="false" ht="15.75" hidden="false" customHeight="true" outlineLevel="0" collapsed="false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</row>
    <row r="620" customFormat="false" ht="15.75" hidden="false" customHeight="true" outlineLevel="0" collapsed="false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</row>
    <row r="621" customFormat="false" ht="15.75" hidden="false" customHeight="true" outlineLevel="0" collapsed="false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</row>
    <row r="622" customFormat="false" ht="15.75" hidden="false" customHeight="true" outlineLevel="0" collapsed="false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</row>
    <row r="623" customFormat="false" ht="15.75" hidden="false" customHeight="true" outlineLevel="0" collapsed="false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</row>
    <row r="624" customFormat="false" ht="15.75" hidden="false" customHeight="true" outlineLevel="0" collapsed="false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</row>
    <row r="625" customFormat="false" ht="15.75" hidden="false" customHeight="true" outlineLevel="0" collapsed="false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</row>
    <row r="626" customFormat="false" ht="15.75" hidden="false" customHeight="true" outlineLevel="0" collapsed="false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</row>
    <row r="627" customFormat="false" ht="15.75" hidden="false" customHeight="true" outlineLevel="0" collapsed="false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</row>
    <row r="628" customFormat="false" ht="15.75" hidden="false" customHeight="true" outlineLevel="0" collapsed="false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</row>
    <row r="629" customFormat="false" ht="15.75" hidden="false" customHeight="true" outlineLevel="0" collapsed="false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</row>
    <row r="630" customFormat="false" ht="15.75" hidden="false" customHeight="true" outlineLevel="0" collapsed="false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</row>
    <row r="631" customFormat="false" ht="15.75" hidden="false" customHeight="true" outlineLevel="0" collapsed="false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</row>
    <row r="632" customFormat="false" ht="15.75" hidden="false" customHeight="true" outlineLevel="0" collapsed="false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</row>
    <row r="633" customFormat="false" ht="15.75" hidden="false" customHeight="true" outlineLevel="0" collapsed="false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</row>
    <row r="634" customFormat="false" ht="15.75" hidden="false" customHeight="true" outlineLevel="0" collapsed="false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</row>
    <row r="635" customFormat="false" ht="15.75" hidden="false" customHeight="true" outlineLevel="0" collapsed="false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</row>
    <row r="636" customFormat="false" ht="15.75" hidden="false" customHeight="true" outlineLevel="0" collapsed="false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</row>
    <row r="637" customFormat="false" ht="15.75" hidden="false" customHeight="true" outlineLevel="0" collapsed="false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</row>
    <row r="638" customFormat="false" ht="15.75" hidden="false" customHeight="true" outlineLevel="0" collapsed="false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</row>
    <row r="639" customFormat="false" ht="15.75" hidden="false" customHeight="true" outlineLevel="0" collapsed="false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</row>
    <row r="640" customFormat="false" ht="15.75" hidden="false" customHeight="true" outlineLevel="0" collapsed="false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</row>
    <row r="641" customFormat="false" ht="15.75" hidden="false" customHeight="true" outlineLevel="0" collapsed="false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</row>
    <row r="642" customFormat="false" ht="15.75" hidden="false" customHeight="true" outlineLevel="0" collapsed="false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</row>
    <row r="643" customFormat="false" ht="15.75" hidden="false" customHeight="true" outlineLevel="0" collapsed="false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</row>
    <row r="644" customFormat="false" ht="15.75" hidden="false" customHeight="true" outlineLevel="0" collapsed="false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</row>
    <row r="645" customFormat="false" ht="15.75" hidden="false" customHeight="true" outlineLevel="0" collapsed="false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</row>
    <row r="646" customFormat="false" ht="15.75" hidden="false" customHeight="true" outlineLevel="0" collapsed="false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</row>
    <row r="647" customFormat="false" ht="15.75" hidden="false" customHeight="true" outlineLevel="0" collapsed="false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</row>
    <row r="648" customFormat="false" ht="15.75" hidden="false" customHeight="true" outlineLevel="0" collapsed="false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</row>
    <row r="649" customFormat="false" ht="15.75" hidden="false" customHeight="true" outlineLevel="0" collapsed="false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</row>
    <row r="650" customFormat="false" ht="15.75" hidden="false" customHeight="true" outlineLevel="0" collapsed="false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</row>
    <row r="651" customFormat="false" ht="15.75" hidden="false" customHeight="true" outlineLevel="0" collapsed="false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</row>
    <row r="652" customFormat="false" ht="15.75" hidden="false" customHeight="true" outlineLevel="0" collapsed="false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</row>
    <row r="653" customFormat="false" ht="15.75" hidden="false" customHeight="true" outlineLevel="0" collapsed="false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</row>
    <row r="654" customFormat="false" ht="15.75" hidden="false" customHeight="true" outlineLevel="0" collapsed="false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</row>
    <row r="655" customFormat="false" ht="15.75" hidden="false" customHeight="true" outlineLevel="0" collapsed="false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</row>
    <row r="656" customFormat="false" ht="15.75" hidden="false" customHeight="true" outlineLevel="0" collapsed="false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</row>
    <row r="657" customFormat="false" ht="15.75" hidden="false" customHeight="true" outlineLevel="0" collapsed="false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</row>
    <row r="658" customFormat="false" ht="15.75" hidden="false" customHeight="true" outlineLevel="0" collapsed="false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</row>
    <row r="659" customFormat="false" ht="15.75" hidden="false" customHeight="true" outlineLevel="0" collapsed="false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</row>
    <row r="660" customFormat="false" ht="15.75" hidden="false" customHeight="true" outlineLevel="0" collapsed="false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</row>
    <row r="661" customFormat="false" ht="15.75" hidden="false" customHeight="true" outlineLevel="0" collapsed="false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</row>
    <row r="662" customFormat="false" ht="15.75" hidden="false" customHeight="true" outlineLevel="0" collapsed="false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</row>
    <row r="663" customFormat="false" ht="15.75" hidden="false" customHeight="true" outlineLevel="0" collapsed="false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</row>
    <row r="664" customFormat="false" ht="15.75" hidden="false" customHeight="true" outlineLevel="0" collapsed="false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</row>
    <row r="665" customFormat="false" ht="15.75" hidden="false" customHeight="true" outlineLevel="0" collapsed="false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</row>
    <row r="666" customFormat="false" ht="15.75" hidden="false" customHeight="true" outlineLevel="0" collapsed="false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</row>
    <row r="667" customFormat="false" ht="15.75" hidden="false" customHeight="true" outlineLevel="0" collapsed="false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</row>
    <row r="668" customFormat="false" ht="15.75" hidden="false" customHeight="true" outlineLevel="0" collapsed="false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</row>
    <row r="669" customFormat="false" ht="15.75" hidden="false" customHeight="true" outlineLevel="0" collapsed="false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</row>
    <row r="670" customFormat="false" ht="15.75" hidden="false" customHeight="true" outlineLevel="0" collapsed="false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</row>
    <row r="671" customFormat="false" ht="15.75" hidden="false" customHeight="true" outlineLevel="0" collapsed="false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</row>
    <row r="672" customFormat="false" ht="15.75" hidden="false" customHeight="true" outlineLevel="0" collapsed="false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</row>
    <row r="673" customFormat="false" ht="15.75" hidden="false" customHeight="true" outlineLevel="0" collapsed="false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</row>
    <row r="674" customFormat="false" ht="15.75" hidden="false" customHeight="true" outlineLevel="0" collapsed="false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</row>
    <row r="675" customFormat="false" ht="15.75" hidden="false" customHeight="true" outlineLevel="0" collapsed="false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</row>
    <row r="676" customFormat="false" ht="15.75" hidden="false" customHeight="true" outlineLevel="0" collapsed="false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</row>
    <row r="677" customFormat="false" ht="15.75" hidden="false" customHeight="true" outlineLevel="0" collapsed="false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</row>
    <row r="678" customFormat="false" ht="15.75" hidden="false" customHeight="true" outlineLevel="0" collapsed="false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</row>
    <row r="679" customFormat="false" ht="15.75" hidden="false" customHeight="true" outlineLevel="0" collapsed="false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</row>
    <row r="680" customFormat="false" ht="15.75" hidden="false" customHeight="true" outlineLevel="0" collapsed="false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</row>
    <row r="681" customFormat="false" ht="15.75" hidden="false" customHeight="true" outlineLevel="0" collapsed="false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</row>
    <row r="682" customFormat="false" ht="15.75" hidden="false" customHeight="true" outlineLevel="0" collapsed="false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</row>
    <row r="683" customFormat="false" ht="15.75" hidden="false" customHeight="true" outlineLevel="0" collapsed="false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</row>
    <row r="684" customFormat="false" ht="15.75" hidden="false" customHeight="true" outlineLevel="0" collapsed="false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</row>
    <row r="685" customFormat="false" ht="15.75" hidden="false" customHeight="true" outlineLevel="0" collapsed="false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</row>
    <row r="686" customFormat="false" ht="15.75" hidden="false" customHeight="true" outlineLevel="0" collapsed="false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</row>
    <row r="687" customFormat="false" ht="15.75" hidden="false" customHeight="true" outlineLevel="0" collapsed="false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</row>
    <row r="688" customFormat="false" ht="15.75" hidden="false" customHeight="true" outlineLevel="0" collapsed="false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</row>
    <row r="689" customFormat="false" ht="15.75" hidden="false" customHeight="true" outlineLevel="0" collapsed="false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</row>
    <row r="690" customFormat="false" ht="15.75" hidden="false" customHeight="true" outlineLevel="0" collapsed="false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</row>
    <row r="691" customFormat="false" ht="15.75" hidden="false" customHeight="true" outlineLevel="0" collapsed="false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</row>
    <row r="692" customFormat="false" ht="15.75" hidden="false" customHeight="true" outlineLevel="0" collapsed="false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</row>
    <row r="693" customFormat="false" ht="15.75" hidden="false" customHeight="true" outlineLevel="0" collapsed="false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</row>
    <row r="694" customFormat="false" ht="15.75" hidden="false" customHeight="true" outlineLevel="0" collapsed="false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</row>
    <row r="695" customFormat="false" ht="15.75" hidden="false" customHeight="true" outlineLevel="0" collapsed="false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</row>
    <row r="696" customFormat="false" ht="15.75" hidden="false" customHeight="true" outlineLevel="0" collapsed="false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</row>
    <row r="697" customFormat="false" ht="15.75" hidden="false" customHeight="true" outlineLevel="0" collapsed="false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</row>
    <row r="698" customFormat="false" ht="15.75" hidden="false" customHeight="true" outlineLevel="0" collapsed="false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</row>
    <row r="699" customFormat="false" ht="15.75" hidden="false" customHeight="true" outlineLevel="0" collapsed="false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</row>
    <row r="700" customFormat="false" ht="15.75" hidden="false" customHeight="true" outlineLevel="0" collapsed="false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</row>
    <row r="701" customFormat="false" ht="15.75" hidden="false" customHeight="true" outlineLevel="0" collapsed="false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</row>
    <row r="702" customFormat="false" ht="15.75" hidden="false" customHeight="true" outlineLevel="0" collapsed="false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</row>
    <row r="703" customFormat="false" ht="15.75" hidden="false" customHeight="true" outlineLevel="0" collapsed="false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</row>
    <row r="704" customFormat="false" ht="15.75" hidden="false" customHeight="true" outlineLevel="0" collapsed="false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</row>
    <row r="705" customFormat="false" ht="15.75" hidden="false" customHeight="true" outlineLevel="0" collapsed="false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</row>
    <row r="706" customFormat="false" ht="15.75" hidden="false" customHeight="true" outlineLevel="0" collapsed="false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</row>
    <row r="707" customFormat="false" ht="15.75" hidden="false" customHeight="true" outlineLevel="0" collapsed="false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</row>
    <row r="708" customFormat="false" ht="15.75" hidden="false" customHeight="true" outlineLevel="0" collapsed="false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</row>
    <row r="709" customFormat="false" ht="15.75" hidden="false" customHeight="true" outlineLevel="0" collapsed="false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</row>
    <row r="710" customFormat="false" ht="15.75" hidden="false" customHeight="true" outlineLevel="0" collapsed="false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</row>
    <row r="711" customFormat="false" ht="15.75" hidden="false" customHeight="true" outlineLevel="0" collapsed="false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</row>
    <row r="712" customFormat="false" ht="15.75" hidden="false" customHeight="true" outlineLevel="0" collapsed="false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</row>
    <row r="713" customFormat="false" ht="15.75" hidden="false" customHeight="true" outlineLevel="0" collapsed="false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</row>
    <row r="714" customFormat="false" ht="15.75" hidden="false" customHeight="true" outlineLevel="0" collapsed="false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</row>
    <row r="715" customFormat="false" ht="15.75" hidden="false" customHeight="true" outlineLevel="0" collapsed="false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</row>
    <row r="716" customFormat="false" ht="15.75" hidden="false" customHeight="true" outlineLevel="0" collapsed="false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</row>
    <row r="717" customFormat="false" ht="15.75" hidden="false" customHeight="true" outlineLevel="0" collapsed="false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</row>
    <row r="718" customFormat="false" ht="15.75" hidden="false" customHeight="true" outlineLevel="0" collapsed="false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</row>
    <row r="719" customFormat="false" ht="15.75" hidden="false" customHeight="true" outlineLevel="0" collapsed="false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</row>
    <row r="720" customFormat="false" ht="15.75" hidden="false" customHeight="true" outlineLevel="0" collapsed="false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</row>
    <row r="721" customFormat="false" ht="15.75" hidden="false" customHeight="true" outlineLevel="0" collapsed="false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</row>
    <row r="722" customFormat="false" ht="15.75" hidden="false" customHeight="true" outlineLevel="0" collapsed="false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</row>
    <row r="723" customFormat="false" ht="15.75" hidden="false" customHeight="true" outlineLevel="0" collapsed="false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</row>
    <row r="724" customFormat="false" ht="15.75" hidden="false" customHeight="true" outlineLevel="0" collapsed="false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</row>
    <row r="725" customFormat="false" ht="15.75" hidden="false" customHeight="true" outlineLevel="0" collapsed="false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</row>
    <row r="726" customFormat="false" ht="15.75" hidden="false" customHeight="true" outlineLevel="0" collapsed="false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</row>
    <row r="727" customFormat="false" ht="15.75" hidden="false" customHeight="true" outlineLevel="0" collapsed="false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</row>
    <row r="728" customFormat="false" ht="15.75" hidden="false" customHeight="true" outlineLevel="0" collapsed="false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</row>
    <row r="729" customFormat="false" ht="15.75" hidden="false" customHeight="true" outlineLevel="0" collapsed="false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</row>
    <row r="730" customFormat="false" ht="15.75" hidden="false" customHeight="true" outlineLevel="0" collapsed="false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</row>
    <row r="731" customFormat="false" ht="15.75" hidden="false" customHeight="true" outlineLevel="0" collapsed="false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</row>
    <row r="732" customFormat="false" ht="15.75" hidden="false" customHeight="true" outlineLevel="0" collapsed="false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</row>
    <row r="733" customFormat="false" ht="15.75" hidden="false" customHeight="true" outlineLevel="0" collapsed="false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</row>
    <row r="734" customFormat="false" ht="15.75" hidden="false" customHeight="true" outlineLevel="0" collapsed="false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</row>
    <row r="735" customFormat="false" ht="15.75" hidden="false" customHeight="true" outlineLevel="0" collapsed="false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</row>
    <row r="736" customFormat="false" ht="15.75" hidden="false" customHeight="true" outlineLevel="0" collapsed="false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</row>
    <row r="737" customFormat="false" ht="15.75" hidden="false" customHeight="true" outlineLevel="0" collapsed="false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</row>
    <row r="738" customFormat="false" ht="15.75" hidden="false" customHeight="true" outlineLevel="0" collapsed="false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</row>
    <row r="739" customFormat="false" ht="15.75" hidden="false" customHeight="true" outlineLevel="0" collapsed="false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</row>
    <row r="740" customFormat="false" ht="15.75" hidden="false" customHeight="true" outlineLevel="0" collapsed="false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</row>
    <row r="741" customFormat="false" ht="15.75" hidden="false" customHeight="true" outlineLevel="0" collapsed="false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</row>
    <row r="742" customFormat="false" ht="15.75" hidden="false" customHeight="true" outlineLevel="0" collapsed="false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</row>
    <row r="743" customFormat="false" ht="15.75" hidden="false" customHeight="true" outlineLevel="0" collapsed="false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</row>
    <row r="744" customFormat="false" ht="15.75" hidden="false" customHeight="true" outlineLevel="0" collapsed="false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</row>
    <row r="745" customFormat="false" ht="15.75" hidden="false" customHeight="true" outlineLevel="0" collapsed="false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</row>
    <row r="746" customFormat="false" ht="15.75" hidden="false" customHeight="true" outlineLevel="0" collapsed="false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</row>
    <row r="747" customFormat="false" ht="15.75" hidden="false" customHeight="true" outlineLevel="0" collapsed="false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</row>
    <row r="748" customFormat="false" ht="15.75" hidden="false" customHeight="true" outlineLevel="0" collapsed="false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</row>
    <row r="749" customFormat="false" ht="15.75" hidden="false" customHeight="true" outlineLevel="0" collapsed="false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</row>
    <row r="750" customFormat="false" ht="15.75" hidden="false" customHeight="true" outlineLevel="0" collapsed="false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</row>
    <row r="751" customFormat="false" ht="15.75" hidden="false" customHeight="true" outlineLevel="0" collapsed="false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</row>
    <row r="752" customFormat="false" ht="15.75" hidden="false" customHeight="true" outlineLevel="0" collapsed="false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</row>
    <row r="753" customFormat="false" ht="15.75" hidden="false" customHeight="true" outlineLevel="0" collapsed="false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</row>
    <row r="754" customFormat="false" ht="15.75" hidden="false" customHeight="true" outlineLevel="0" collapsed="false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</row>
    <row r="755" customFormat="false" ht="15.75" hidden="false" customHeight="true" outlineLevel="0" collapsed="false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</row>
    <row r="756" customFormat="false" ht="15.75" hidden="false" customHeight="true" outlineLevel="0" collapsed="false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</row>
    <row r="757" customFormat="false" ht="15.75" hidden="false" customHeight="true" outlineLevel="0" collapsed="false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</row>
    <row r="758" customFormat="false" ht="15.75" hidden="false" customHeight="true" outlineLevel="0" collapsed="false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</row>
    <row r="759" customFormat="false" ht="15.75" hidden="false" customHeight="true" outlineLevel="0" collapsed="false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</row>
    <row r="760" customFormat="false" ht="15.75" hidden="false" customHeight="true" outlineLevel="0" collapsed="false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</row>
    <row r="761" customFormat="false" ht="15.75" hidden="false" customHeight="true" outlineLevel="0" collapsed="false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</row>
    <row r="762" customFormat="false" ht="15.75" hidden="false" customHeight="true" outlineLevel="0" collapsed="false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</row>
    <row r="763" customFormat="false" ht="15.75" hidden="false" customHeight="true" outlineLevel="0" collapsed="false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</row>
    <row r="764" customFormat="false" ht="15.75" hidden="false" customHeight="true" outlineLevel="0" collapsed="false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</row>
    <row r="765" customFormat="false" ht="15.75" hidden="false" customHeight="true" outlineLevel="0" collapsed="false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</row>
    <row r="766" customFormat="false" ht="15.75" hidden="false" customHeight="true" outlineLevel="0" collapsed="false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</row>
    <row r="767" customFormat="false" ht="15.75" hidden="false" customHeight="true" outlineLevel="0" collapsed="false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</row>
    <row r="768" customFormat="false" ht="15.75" hidden="false" customHeight="true" outlineLevel="0" collapsed="false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</row>
    <row r="769" customFormat="false" ht="15.75" hidden="false" customHeight="true" outlineLevel="0" collapsed="false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</row>
    <row r="770" customFormat="false" ht="15.75" hidden="false" customHeight="true" outlineLevel="0" collapsed="false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</row>
    <row r="771" customFormat="false" ht="15.75" hidden="false" customHeight="true" outlineLevel="0" collapsed="false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</row>
    <row r="772" customFormat="false" ht="15.75" hidden="false" customHeight="true" outlineLevel="0" collapsed="false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</row>
    <row r="773" customFormat="false" ht="15.75" hidden="false" customHeight="true" outlineLevel="0" collapsed="false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</row>
    <row r="774" customFormat="false" ht="15.75" hidden="false" customHeight="true" outlineLevel="0" collapsed="false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</row>
    <row r="775" customFormat="false" ht="15.75" hidden="false" customHeight="true" outlineLevel="0" collapsed="false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</row>
    <row r="776" customFormat="false" ht="15.75" hidden="false" customHeight="true" outlineLevel="0" collapsed="false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</row>
    <row r="777" customFormat="false" ht="15.75" hidden="false" customHeight="true" outlineLevel="0" collapsed="false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</row>
    <row r="778" customFormat="false" ht="15.75" hidden="false" customHeight="true" outlineLevel="0" collapsed="false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</row>
    <row r="779" customFormat="false" ht="15.75" hidden="false" customHeight="true" outlineLevel="0" collapsed="false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</row>
    <row r="780" customFormat="false" ht="15.75" hidden="false" customHeight="true" outlineLevel="0" collapsed="false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</row>
    <row r="781" customFormat="false" ht="15.75" hidden="false" customHeight="true" outlineLevel="0" collapsed="false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</row>
    <row r="782" customFormat="false" ht="15.75" hidden="false" customHeight="true" outlineLevel="0" collapsed="false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</row>
    <row r="783" customFormat="false" ht="15.75" hidden="false" customHeight="true" outlineLevel="0" collapsed="false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</row>
    <row r="784" customFormat="false" ht="15.75" hidden="false" customHeight="true" outlineLevel="0" collapsed="false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</row>
    <row r="785" customFormat="false" ht="15.75" hidden="false" customHeight="true" outlineLevel="0" collapsed="false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</row>
    <row r="786" customFormat="false" ht="15.75" hidden="false" customHeight="true" outlineLevel="0" collapsed="false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</row>
    <row r="787" customFormat="false" ht="15.75" hidden="false" customHeight="true" outlineLevel="0" collapsed="false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</row>
    <row r="788" customFormat="false" ht="15.75" hidden="false" customHeight="true" outlineLevel="0" collapsed="false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</row>
    <row r="789" customFormat="false" ht="15.75" hidden="false" customHeight="true" outlineLevel="0" collapsed="false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</row>
    <row r="790" customFormat="false" ht="15.75" hidden="false" customHeight="true" outlineLevel="0" collapsed="false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</row>
    <row r="791" customFormat="false" ht="15.75" hidden="false" customHeight="true" outlineLevel="0" collapsed="false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</row>
    <row r="792" customFormat="false" ht="15.75" hidden="false" customHeight="true" outlineLevel="0" collapsed="false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</row>
    <row r="793" customFormat="false" ht="15.75" hidden="false" customHeight="true" outlineLevel="0" collapsed="false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</row>
    <row r="794" customFormat="false" ht="15.75" hidden="false" customHeight="true" outlineLevel="0" collapsed="false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</row>
    <row r="795" customFormat="false" ht="15.75" hidden="false" customHeight="true" outlineLevel="0" collapsed="false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</row>
    <row r="796" customFormat="false" ht="15.75" hidden="false" customHeight="true" outlineLevel="0" collapsed="false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</row>
    <row r="797" customFormat="false" ht="15.75" hidden="false" customHeight="true" outlineLevel="0" collapsed="false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</row>
    <row r="798" customFormat="false" ht="15.75" hidden="false" customHeight="true" outlineLevel="0" collapsed="false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</row>
    <row r="799" customFormat="false" ht="15.75" hidden="false" customHeight="true" outlineLevel="0" collapsed="false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</row>
    <row r="800" customFormat="false" ht="15.75" hidden="false" customHeight="true" outlineLevel="0" collapsed="false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</row>
    <row r="801" customFormat="false" ht="15.75" hidden="false" customHeight="true" outlineLevel="0" collapsed="false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</row>
    <row r="802" customFormat="false" ht="15.75" hidden="false" customHeight="true" outlineLevel="0" collapsed="false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</row>
    <row r="803" customFormat="false" ht="15.75" hidden="false" customHeight="true" outlineLevel="0" collapsed="false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</row>
    <row r="804" customFormat="false" ht="15.75" hidden="false" customHeight="true" outlineLevel="0" collapsed="false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</row>
    <row r="805" customFormat="false" ht="15.75" hidden="false" customHeight="true" outlineLevel="0" collapsed="false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</row>
    <row r="806" customFormat="false" ht="15.75" hidden="false" customHeight="true" outlineLevel="0" collapsed="false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</row>
    <row r="807" customFormat="false" ht="15.75" hidden="false" customHeight="true" outlineLevel="0" collapsed="false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</row>
    <row r="808" customFormat="false" ht="15.75" hidden="false" customHeight="true" outlineLevel="0" collapsed="false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</row>
    <row r="809" customFormat="false" ht="15.75" hidden="false" customHeight="true" outlineLevel="0" collapsed="false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</row>
    <row r="810" customFormat="false" ht="15.75" hidden="false" customHeight="true" outlineLevel="0" collapsed="false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</row>
    <row r="811" customFormat="false" ht="15.75" hidden="false" customHeight="true" outlineLevel="0" collapsed="false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</row>
    <row r="812" customFormat="false" ht="15.75" hidden="false" customHeight="true" outlineLevel="0" collapsed="false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</row>
    <row r="813" customFormat="false" ht="15.75" hidden="false" customHeight="true" outlineLevel="0" collapsed="false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</row>
    <row r="814" customFormat="false" ht="15.75" hidden="false" customHeight="true" outlineLevel="0" collapsed="false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</row>
    <row r="815" customFormat="false" ht="15.75" hidden="false" customHeight="true" outlineLevel="0" collapsed="false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</row>
    <row r="816" customFormat="false" ht="15.75" hidden="false" customHeight="true" outlineLevel="0" collapsed="false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</row>
    <row r="817" customFormat="false" ht="15.75" hidden="false" customHeight="true" outlineLevel="0" collapsed="false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</row>
    <row r="818" customFormat="false" ht="15.75" hidden="false" customHeight="true" outlineLevel="0" collapsed="false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</row>
    <row r="819" customFormat="false" ht="15.75" hidden="false" customHeight="true" outlineLevel="0" collapsed="false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</row>
    <row r="820" customFormat="false" ht="15.75" hidden="false" customHeight="true" outlineLevel="0" collapsed="false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</row>
    <row r="821" customFormat="false" ht="15.75" hidden="false" customHeight="true" outlineLevel="0" collapsed="false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</row>
    <row r="822" customFormat="false" ht="15.75" hidden="false" customHeight="true" outlineLevel="0" collapsed="false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</row>
    <row r="823" customFormat="false" ht="15.75" hidden="false" customHeight="true" outlineLevel="0" collapsed="false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</row>
    <row r="824" customFormat="false" ht="15.75" hidden="false" customHeight="true" outlineLevel="0" collapsed="false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</row>
    <row r="825" customFormat="false" ht="15.75" hidden="false" customHeight="true" outlineLevel="0" collapsed="false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</row>
    <row r="826" customFormat="false" ht="15.75" hidden="false" customHeight="true" outlineLevel="0" collapsed="false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</row>
    <row r="827" customFormat="false" ht="15.75" hidden="false" customHeight="true" outlineLevel="0" collapsed="false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</row>
    <row r="828" customFormat="false" ht="15.75" hidden="false" customHeight="true" outlineLevel="0" collapsed="false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</row>
    <row r="829" customFormat="false" ht="15.75" hidden="false" customHeight="true" outlineLevel="0" collapsed="false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</row>
    <row r="830" customFormat="false" ht="15.75" hidden="false" customHeight="true" outlineLevel="0" collapsed="false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</row>
    <row r="831" customFormat="false" ht="15.75" hidden="false" customHeight="true" outlineLevel="0" collapsed="false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</row>
    <row r="832" customFormat="false" ht="15.75" hidden="false" customHeight="true" outlineLevel="0" collapsed="false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</row>
    <row r="833" customFormat="false" ht="15.75" hidden="false" customHeight="true" outlineLevel="0" collapsed="false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</row>
    <row r="834" customFormat="false" ht="15.75" hidden="false" customHeight="true" outlineLevel="0" collapsed="false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</row>
    <row r="835" customFormat="false" ht="15.75" hidden="false" customHeight="true" outlineLevel="0" collapsed="false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</row>
    <row r="836" customFormat="false" ht="15.75" hidden="false" customHeight="true" outlineLevel="0" collapsed="false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</row>
    <row r="837" customFormat="false" ht="15.75" hidden="false" customHeight="true" outlineLevel="0" collapsed="false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</row>
    <row r="838" customFormat="false" ht="15.75" hidden="false" customHeight="true" outlineLevel="0" collapsed="false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</row>
    <row r="839" customFormat="false" ht="15.75" hidden="false" customHeight="true" outlineLevel="0" collapsed="false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</row>
    <row r="840" customFormat="false" ht="15.75" hidden="false" customHeight="true" outlineLevel="0" collapsed="false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</row>
    <row r="841" customFormat="false" ht="15.75" hidden="false" customHeight="true" outlineLevel="0" collapsed="false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</row>
    <row r="842" customFormat="false" ht="15.75" hidden="false" customHeight="true" outlineLevel="0" collapsed="false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</row>
    <row r="843" customFormat="false" ht="15.75" hidden="false" customHeight="true" outlineLevel="0" collapsed="false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</row>
    <row r="844" customFormat="false" ht="15.75" hidden="false" customHeight="true" outlineLevel="0" collapsed="false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</row>
    <row r="845" customFormat="false" ht="15.75" hidden="false" customHeight="true" outlineLevel="0" collapsed="false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</row>
    <row r="846" customFormat="false" ht="15.75" hidden="false" customHeight="true" outlineLevel="0" collapsed="false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</row>
    <row r="847" customFormat="false" ht="15.75" hidden="false" customHeight="true" outlineLevel="0" collapsed="false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</row>
    <row r="848" customFormat="false" ht="15.75" hidden="false" customHeight="true" outlineLevel="0" collapsed="false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</row>
    <row r="849" customFormat="false" ht="15.75" hidden="false" customHeight="true" outlineLevel="0" collapsed="false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</row>
    <row r="850" customFormat="false" ht="15.75" hidden="false" customHeight="true" outlineLevel="0" collapsed="false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</row>
    <row r="851" customFormat="false" ht="15.75" hidden="false" customHeight="true" outlineLevel="0" collapsed="false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</row>
    <row r="852" customFormat="false" ht="15.75" hidden="false" customHeight="true" outlineLevel="0" collapsed="false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</row>
    <row r="853" customFormat="false" ht="15.75" hidden="false" customHeight="true" outlineLevel="0" collapsed="false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</row>
    <row r="854" customFormat="false" ht="15.75" hidden="false" customHeight="true" outlineLevel="0" collapsed="false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</row>
    <row r="855" customFormat="false" ht="15.75" hidden="false" customHeight="true" outlineLevel="0" collapsed="false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</row>
    <row r="856" customFormat="false" ht="15.75" hidden="false" customHeight="true" outlineLevel="0" collapsed="false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</row>
    <row r="857" customFormat="false" ht="15.75" hidden="false" customHeight="true" outlineLevel="0" collapsed="false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</row>
    <row r="858" customFormat="false" ht="15.75" hidden="false" customHeight="true" outlineLevel="0" collapsed="false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</row>
    <row r="859" customFormat="false" ht="15.75" hidden="false" customHeight="true" outlineLevel="0" collapsed="false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</row>
    <row r="860" customFormat="false" ht="15.75" hidden="false" customHeight="true" outlineLevel="0" collapsed="false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</row>
    <row r="861" customFormat="false" ht="15.75" hidden="false" customHeight="true" outlineLevel="0" collapsed="false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</row>
    <row r="862" customFormat="false" ht="15.75" hidden="false" customHeight="true" outlineLevel="0" collapsed="false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</row>
    <row r="863" customFormat="false" ht="15.75" hidden="false" customHeight="true" outlineLevel="0" collapsed="false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</row>
    <row r="864" customFormat="false" ht="15.75" hidden="false" customHeight="true" outlineLevel="0" collapsed="false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</row>
    <row r="865" customFormat="false" ht="15.75" hidden="false" customHeight="true" outlineLevel="0" collapsed="false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</row>
    <row r="866" customFormat="false" ht="15.75" hidden="false" customHeight="true" outlineLevel="0" collapsed="false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</row>
    <row r="867" customFormat="false" ht="15.75" hidden="false" customHeight="true" outlineLevel="0" collapsed="false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</row>
    <row r="868" customFormat="false" ht="15.75" hidden="false" customHeight="true" outlineLevel="0" collapsed="false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</row>
    <row r="869" customFormat="false" ht="15.75" hidden="false" customHeight="true" outlineLevel="0" collapsed="false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</row>
    <row r="870" customFormat="false" ht="15.75" hidden="false" customHeight="true" outlineLevel="0" collapsed="false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</row>
    <row r="871" customFormat="false" ht="15.75" hidden="false" customHeight="true" outlineLevel="0" collapsed="false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</row>
    <row r="872" customFormat="false" ht="15.75" hidden="false" customHeight="true" outlineLevel="0" collapsed="false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</row>
    <row r="873" customFormat="false" ht="15.75" hidden="false" customHeight="true" outlineLevel="0" collapsed="false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</row>
    <row r="874" customFormat="false" ht="15.75" hidden="false" customHeight="true" outlineLevel="0" collapsed="false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</row>
    <row r="875" customFormat="false" ht="15.75" hidden="false" customHeight="true" outlineLevel="0" collapsed="false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</row>
    <row r="876" customFormat="false" ht="15.75" hidden="false" customHeight="true" outlineLevel="0" collapsed="false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</row>
    <row r="877" customFormat="false" ht="15.75" hidden="false" customHeight="true" outlineLevel="0" collapsed="false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</row>
    <row r="878" customFormat="false" ht="15.75" hidden="false" customHeight="true" outlineLevel="0" collapsed="false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</row>
    <row r="879" customFormat="false" ht="15.75" hidden="false" customHeight="true" outlineLevel="0" collapsed="false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</row>
    <row r="880" customFormat="false" ht="15.75" hidden="false" customHeight="true" outlineLevel="0" collapsed="false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</row>
    <row r="881" customFormat="false" ht="15.75" hidden="false" customHeight="true" outlineLevel="0" collapsed="false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</row>
    <row r="882" customFormat="false" ht="15.75" hidden="false" customHeight="true" outlineLevel="0" collapsed="false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</row>
    <row r="883" customFormat="false" ht="15.75" hidden="false" customHeight="true" outlineLevel="0" collapsed="false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</row>
    <row r="884" customFormat="false" ht="15.75" hidden="false" customHeight="true" outlineLevel="0" collapsed="false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</row>
    <row r="885" customFormat="false" ht="15.75" hidden="false" customHeight="true" outlineLevel="0" collapsed="false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</row>
    <row r="886" customFormat="false" ht="15.75" hidden="false" customHeight="true" outlineLevel="0" collapsed="false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</row>
    <row r="887" customFormat="false" ht="15.75" hidden="false" customHeight="true" outlineLevel="0" collapsed="false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</row>
    <row r="888" customFormat="false" ht="15.75" hidden="false" customHeight="true" outlineLevel="0" collapsed="false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</row>
    <row r="889" customFormat="false" ht="15.75" hidden="false" customHeight="true" outlineLevel="0" collapsed="false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</row>
    <row r="890" customFormat="false" ht="15.75" hidden="false" customHeight="true" outlineLevel="0" collapsed="false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</row>
    <row r="891" customFormat="false" ht="15.75" hidden="false" customHeight="true" outlineLevel="0" collapsed="false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</row>
    <row r="892" customFormat="false" ht="15.75" hidden="false" customHeight="true" outlineLevel="0" collapsed="false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</row>
    <row r="893" customFormat="false" ht="15.75" hidden="false" customHeight="true" outlineLevel="0" collapsed="false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</row>
    <row r="894" customFormat="false" ht="15.75" hidden="false" customHeight="true" outlineLevel="0" collapsed="false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</row>
    <row r="895" customFormat="false" ht="15.75" hidden="false" customHeight="true" outlineLevel="0" collapsed="false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</row>
    <row r="896" customFormat="false" ht="15.75" hidden="false" customHeight="true" outlineLevel="0" collapsed="false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</row>
    <row r="897" customFormat="false" ht="15.75" hidden="false" customHeight="true" outlineLevel="0" collapsed="false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</row>
    <row r="898" customFormat="false" ht="15.75" hidden="false" customHeight="true" outlineLevel="0" collapsed="false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</row>
    <row r="899" customFormat="false" ht="15.75" hidden="false" customHeight="true" outlineLevel="0" collapsed="false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</row>
    <row r="900" customFormat="false" ht="15.75" hidden="false" customHeight="true" outlineLevel="0" collapsed="false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</row>
    <row r="901" customFormat="false" ht="15.75" hidden="false" customHeight="true" outlineLevel="0" collapsed="false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</row>
    <row r="902" customFormat="false" ht="15.75" hidden="false" customHeight="true" outlineLevel="0" collapsed="false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</row>
    <row r="903" customFormat="false" ht="15.75" hidden="false" customHeight="true" outlineLevel="0" collapsed="false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</row>
    <row r="904" customFormat="false" ht="15.75" hidden="false" customHeight="true" outlineLevel="0" collapsed="false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</row>
    <row r="905" customFormat="false" ht="15.75" hidden="false" customHeight="true" outlineLevel="0" collapsed="false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</row>
    <row r="906" customFormat="false" ht="15.75" hidden="false" customHeight="true" outlineLevel="0" collapsed="false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</row>
    <row r="907" customFormat="false" ht="15.75" hidden="false" customHeight="true" outlineLevel="0" collapsed="false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</row>
    <row r="908" customFormat="false" ht="15.75" hidden="false" customHeight="true" outlineLevel="0" collapsed="false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</row>
    <row r="909" customFormat="false" ht="15.75" hidden="false" customHeight="true" outlineLevel="0" collapsed="false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</row>
    <row r="910" customFormat="false" ht="15.75" hidden="false" customHeight="true" outlineLevel="0" collapsed="false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</row>
    <row r="911" customFormat="false" ht="15.75" hidden="false" customHeight="true" outlineLevel="0" collapsed="false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</row>
    <row r="912" customFormat="false" ht="15.75" hidden="false" customHeight="true" outlineLevel="0" collapsed="false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</row>
    <row r="913" customFormat="false" ht="15.75" hidden="false" customHeight="true" outlineLevel="0" collapsed="false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</row>
    <row r="914" customFormat="false" ht="15.75" hidden="false" customHeight="true" outlineLevel="0" collapsed="false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</row>
    <row r="915" customFormat="false" ht="15.75" hidden="false" customHeight="true" outlineLevel="0" collapsed="false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</row>
    <row r="916" customFormat="false" ht="15.75" hidden="false" customHeight="true" outlineLevel="0" collapsed="false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</row>
    <row r="917" customFormat="false" ht="15.75" hidden="false" customHeight="true" outlineLevel="0" collapsed="false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</row>
    <row r="918" customFormat="false" ht="15.75" hidden="false" customHeight="true" outlineLevel="0" collapsed="false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</row>
    <row r="919" customFormat="false" ht="15.75" hidden="false" customHeight="true" outlineLevel="0" collapsed="false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</row>
    <row r="920" customFormat="false" ht="15.75" hidden="false" customHeight="true" outlineLevel="0" collapsed="false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</row>
    <row r="921" customFormat="false" ht="15.75" hidden="false" customHeight="true" outlineLevel="0" collapsed="false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</row>
    <row r="922" customFormat="false" ht="15.75" hidden="false" customHeight="true" outlineLevel="0" collapsed="false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</row>
    <row r="923" customFormat="false" ht="15.75" hidden="false" customHeight="true" outlineLevel="0" collapsed="false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</row>
    <row r="924" customFormat="false" ht="15.75" hidden="false" customHeight="true" outlineLevel="0" collapsed="false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</row>
    <row r="925" customFormat="false" ht="15.75" hidden="false" customHeight="true" outlineLevel="0" collapsed="false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</row>
    <row r="926" customFormat="false" ht="15.75" hidden="false" customHeight="true" outlineLevel="0" collapsed="false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</row>
    <row r="927" customFormat="false" ht="15.75" hidden="false" customHeight="true" outlineLevel="0" collapsed="false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</row>
    <row r="928" customFormat="false" ht="15.75" hidden="false" customHeight="true" outlineLevel="0" collapsed="false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</row>
    <row r="929" customFormat="false" ht="15.75" hidden="false" customHeight="true" outlineLevel="0" collapsed="false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</row>
    <row r="930" customFormat="false" ht="15.75" hidden="false" customHeight="true" outlineLevel="0" collapsed="false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</row>
    <row r="931" customFormat="false" ht="15.75" hidden="false" customHeight="true" outlineLevel="0" collapsed="false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</row>
    <row r="932" customFormat="false" ht="15.75" hidden="false" customHeight="true" outlineLevel="0" collapsed="false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</row>
    <row r="933" customFormat="false" ht="15.75" hidden="false" customHeight="true" outlineLevel="0" collapsed="false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</row>
    <row r="934" customFormat="false" ht="15.75" hidden="false" customHeight="true" outlineLevel="0" collapsed="false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</row>
    <row r="935" customFormat="false" ht="15.75" hidden="false" customHeight="true" outlineLevel="0" collapsed="false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</row>
    <row r="936" customFormat="false" ht="15.75" hidden="false" customHeight="true" outlineLevel="0" collapsed="false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</row>
    <row r="937" customFormat="false" ht="15.75" hidden="false" customHeight="true" outlineLevel="0" collapsed="false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</row>
    <row r="938" customFormat="false" ht="15.75" hidden="false" customHeight="true" outlineLevel="0" collapsed="false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</row>
    <row r="939" customFormat="false" ht="15.75" hidden="false" customHeight="true" outlineLevel="0" collapsed="false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</row>
    <row r="940" customFormat="false" ht="15.75" hidden="false" customHeight="true" outlineLevel="0" collapsed="false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</row>
    <row r="941" customFormat="false" ht="15.75" hidden="false" customHeight="true" outlineLevel="0" collapsed="false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</row>
    <row r="942" customFormat="false" ht="15.75" hidden="false" customHeight="true" outlineLevel="0" collapsed="false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</row>
    <row r="943" customFormat="false" ht="15.75" hidden="false" customHeight="true" outlineLevel="0" collapsed="false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</row>
    <row r="944" customFormat="false" ht="15.75" hidden="false" customHeight="true" outlineLevel="0" collapsed="false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</row>
    <row r="945" customFormat="false" ht="15.75" hidden="false" customHeight="true" outlineLevel="0" collapsed="false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</row>
    <row r="946" customFormat="false" ht="15.75" hidden="false" customHeight="true" outlineLevel="0" collapsed="false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</row>
    <row r="947" customFormat="false" ht="15.75" hidden="false" customHeight="true" outlineLevel="0" collapsed="false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</row>
    <row r="948" customFormat="false" ht="15.75" hidden="false" customHeight="true" outlineLevel="0" collapsed="false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</row>
    <row r="949" customFormat="false" ht="15.75" hidden="false" customHeight="true" outlineLevel="0" collapsed="false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</row>
    <row r="950" customFormat="false" ht="15.75" hidden="false" customHeight="true" outlineLevel="0" collapsed="false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</row>
    <row r="951" customFormat="false" ht="15.75" hidden="false" customHeight="true" outlineLevel="0" collapsed="false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</row>
    <row r="952" customFormat="false" ht="15.75" hidden="false" customHeight="true" outlineLevel="0" collapsed="false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</row>
    <row r="953" customFormat="false" ht="15.75" hidden="false" customHeight="true" outlineLevel="0" collapsed="false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</row>
    <row r="954" customFormat="false" ht="15.75" hidden="false" customHeight="true" outlineLevel="0" collapsed="false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</row>
    <row r="955" customFormat="false" ht="15.75" hidden="false" customHeight="true" outlineLevel="0" collapsed="false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</row>
    <row r="956" customFormat="false" ht="15.75" hidden="false" customHeight="true" outlineLevel="0" collapsed="false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</row>
    <row r="957" customFormat="false" ht="15.75" hidden="false" customHeight="true" outlineLevel="0" collapsed="false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</row>
    <row r="958" customFormat="false" ht="15.75" hidden="false" customHeight="true" outlineLevel="0" collapsed="false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</row>
    <row r="959" customFormat="false" ht="15.75" hidden="false" customHeight="true" outlineLevel="0" collapsed="false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</row>
    <row r="960" customFormat="false" ht="15.75" hidden="false" customHeight="true" outlineLevel="0" collapsed="false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</row>
    <row r="961" customFormat="false" ht="15.75" hidden="false" customHeight="true" outlineLevel="0" collapsed="false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</row>
    <row r="962" customFormat="false" ht="15.75" hidden="false" customHeight="true" outlineLevel="0" collapsed="false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</row>
    <row r="963" customFormat="false" ht="15.75" hidden="false" customHeight="true" outlineLevel="0" collapsed="false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</row>
    <row r="964" customFormat="false" ht="15.75" hidden="false" customHeight="true" outlineLevel="0" collapsed="false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</row>
    <row r="965" customFormat="false" ht="15.75" hidden="false" customHeight="true" outlineLevel="0" collapsed="false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</row>
    <row r="966" customFormat="false" ht="15.75" hidden="false" customHeight="true" outlineLevel="0" collapsed="false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</row>
    <row r="967" customFormat="false" ht="15.75" hidden="false" customHeight="true" outlineLevel="0" collapsed="false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</row>
    <row r="968" customFormat="false" ht="15.75" hidden="false" customHeight="true" outlineLevel="0" collapsed="false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</row>
    <row r="969" customFormat="false" ht="15.75" hidden="false" customHeight="true" outlineLevel="0" collapsed="false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</row>
    <row r="970" customFormat="false" ht="15.75" hidden="false" customHeight="true" outlineLevel="0" collapsed="false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</row>
    <row r="971" customFormat="false" ht="15.75" hidden="false" customHeight="true" outlineLevel="0" collapsed="false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</row>
    <row r="972" customFormat="false" ht="15.75" hidden="false" customHeight="true" outlineLevel="0" collapsed="false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</row>
    <row r="973" customFormat="false" ht="15.75" hidden="false" customHeight="true" outlineLevel="0" collapsed="false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</row>
    <row r="974" customFormat="false" ht="15.75" hidden="false" customHeight="true" outlineLevel="0" collapsed="false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</row>
    <row r="975" customFormat="false" ht="15.75" hidden="false" customHeight="true" outlineLevel="0" collapsed="false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</row>
    <row r="976" customFormat="false" ht="15.75" hidden="false" customHeight="true" outlineLevel="0" collapsed="false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</row>
    <row r="977" customFormat="false" ht="15.75" hidden="false" customHeight="true" outlineLevel="0" collapsed="false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</row>
    <row r="978" customFormat="false" ht="15.75" hidden="false" customHeight="true" outlineLevel="0" collapsed="false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</row>
    <row r="979" customFormat="false" ht="15.75" hidden="false" customHeight="true" outlineLevel="0" collapsed="false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</row>
    <row r="980" customFormat="false" ht="15.75" hidden="false" customHeight="true" outlineLevel="0" collapsed="false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</row>
    <row r="981" customFormat="false" ht="15.75" hidden="false" customHeight="true" outlineLevel="0" collapsed="false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</row>
    <row r="982" customFormat="false" ht="15.75" hidden="false" customHeight="true" outlineLevel="0" collapsed="false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</row>
    <row r="983" customFormat="false" ht="15.75" hidden="false" customHeight="true" outlineLevel="0" collapsed="false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</row>
    <row r="984" customFormat="false" ht="15.75" hidden="false" customHeight="true" outlineLevel="0" collapsed="false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</row>
    <row r="985" customFormat="false" ht="15.75" hidden="false" customHeight="true" outlineLevel="0" collapsed="false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</row>
    <row r="986" customFormat="false" ht="15.75" hidden="false" customHeight="true" outlineLevel="0" collapsed="false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</row>
    <row r="987" customFormat="false" ht="15.75" hidden="false" customHeight="true" outlineLevel="0" collapsed="false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</row>
    <row r="988" customFormat="false" ht="15.75" hidden="false" customHeight="true" outlineLevel="0" collapsed="false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</row>
    <row r="989" customFormat="false" ht="15.75" hidden="false" customHeight="true" outlineLevel="0" collapsed="false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</row>
    <row r="990" customFormat="false" ht="15.75" hidden="false" customHeight="true" outlineLevel="0" collapsed="false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</row>
    <row r="991" customFormat="false" ht="15.75" hidden="false" customHeight="true" outlineLevel="0" collapsed="false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</row>
    <row r="992" customFormat="false" ht="15.75" hidden="false" customHeight="true" outlineLevel="0" collapsed="false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</row>
    <row r="993" customFormat="false" ht="15.75" hidden="false" customHeight="true" outlineLevel="0" collapsed="false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</row>
    <row r="994" customFormat="false" ht="15.75" hidden="false" customHeight="true" outlineLevel="0" collapsed="false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</row>
    <row r="995" customFormat="false" ht="15.75" hidden="false" customHeight="true" outlineLevel="0" collapsed="false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</row>
    <row r="996" customFormat="false" ht="15.75" hidden="false" customHeight="true" outlineLevel="0" collapsed="false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</row>
    <row r="997" customFormat="false" ht="15.75" hidden="false" customHeight="true" outlineLevel="0" collapsed="false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</row>
    <row r="998" customFormat="false" ht="15.75" hidden="false" customHeight="true" outlineLevel="0" collapsed="false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</row>
    <row r="999" customFormat="false" ht="15.75" hidden="false" customHeight="true" outlineLevel="0" collapsed="false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</row>
    <row r="1000" customFormat="false" ht="15.75" hidden="false" customHeight="true" outlineLevel="0" collapsed="false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</row>
    <row r="1001" customFormat="false" ht="15.75" hidden="false" customHeight="true" outlineLevel="0" collapsed="false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</row>
    <row r="1002" customFormat="false" ht="15.75" hidden="false" customHeight="true" outlineLevel="0" collapsed="false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</row>
    <row r="1003" customFormat="false" ht="15.75" hidden="false" customHeight="true" outlineLevel="0" collapsed="false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</row>
    <row r="1004" customFormat="false" ht="15.75" hidden="false" customHeight="true" outlineLevel="0" collapsed="false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</row>
    <row r="1005" customFormat="false" ht="15.75" hidden="false" customHeight="true" outlineLevel="0" collapsed="false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</row>
    <row r="1006" customFormat="false" ht="15.75" hidden="false" customHeight="true" outlineLevel="0" collapsed="false">
      <c r="A1006" s="104"/>
      <c r="B1006" s="104"/>
      <c r="C1006" s="104"/>
      <c r="D1006" s="104"/>
      <c r="E1006" s="104"/>
      <c r="F1006" s="104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4"/>
      <c r="AB1006" s="104"/>
      <c r="AC1006" s="104"/>
      <c r="AD1006" s="104"/>
      <c r="AE1006" s="104"/>
    </row>
    <row r="1007" customFormat="false" ht="15.75" hidden="false" customHeight="true" outlineLevel="0" collapsed="false">
      <c r="A1007" s="104"/>
      <c r="B1007" s="104"/>
      <c r="C1007" s="104"/>
      <c r="D1007" s="104"/>
      <c r="E1007" s="104"/>
      <c r="F1007" s="104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4"/>
      <c r="AB1007" s="104"/>
      <c r="AC1007" s="104"/>
      <c r="AD1007" s="104"/>
      <c r="AE1007" s="104"/>
    </row>
    <row r="1008" customFormat="false" ht="15.75" hidden="false" customHeight="true" outlineLevel="0" collapsed="false">
      <c r="A1008" s="104"/>
      <c r="B1008" s="104"/>
      <c r="C1008" s="104"/>
      <c r="D1008" s="104"/>
      <c r="E1008" s="104"/>
      <c r="F1008" s="104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4"/>
      <c r="AB1008" s="104"/>
      <c r="AC1008" s="104"/>
      <c r="AD1008" s="104"/>
      <c r="AE1008" s="104"/>
    </row>
    <row r="1009" customFormat="false" ht="15.75" hidden="false" customHeight="true" outlineLevel="0" collapsed="false">
      <c r="A1009" s="104"/>
      <c r="B1009" s="104"/>
      <c r="C1009" s="104"/>
      <c r="D1009" s="104"/>
      <c r="E1009" s="104"/>
      <c r="F1009" s="104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  <c r="Z1009" s="104"/>
      <c r="AA1009" s="104"/>
      <c r="AB1009" s="104"/>
      <c r="AC1009" s="104"/>
      <c r="AD1009" s="104"/>
      <c r="AE1009" s="104"/>
    </row>
  </sheetData>
  <mergeCells count="12">
    <mergeCell ref="A1:AE1"/>
    <mergeCell ref="K2:N2"/>
    <mergeCell ref="O2:Q2"/>
    <mergeCell ref="R2:T2"/>
    <mergeCell ref="K3:N3"/>
    <mergeCell ref="O3:Q3"/>
    <mergeCell ref="R3:T3"/>
    <mergeCell ref="A4:AE5"/>
    <mergeCell ref="K7:N7"/>
    <mergeCell ref="O7:Q7"/>
    <mergeCell ref="R7:T7"/>
    <mergeCell ref="A20:A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5.12"/>
    <col collapsed="false" customWidth="true" hidden="false" outlineLevel="0" max="2" min="2" style="1" width="13.63"/>
    <col collapsed="false" customWidth="true" hidden="false" outlineLevel="0" max="3" min="3" style="1" width="14.25"/>
    <col collapsed="false" customWidth="true" hidden="false" outlineLevel="0" max="4" min="4" style="1" width="14.75"/>
    <col collapsed="false" customWidth="true" hidden="false" outlineLevel="0" max="5" min="5" style="1" width="13.5"/>
    <col collapsed="false" customWidth="true" hidden="false" outlineLevel="0" max="26" min="6" style="1" width="19"/>
  </cols>
  <sheetData>
    <row r="1" customFormat="false" ht="18" hidden="false" customHeight="true" outlineLevel="0" collapsed="false">
      <c r="A1" s="149" t="s">
        <v>72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customFormat="false" ht="18" hidden="false" customHeight="true" outlineLevel="0" collapsed="false">
      <c r="A2" s="150"/>
      <c r="B2" s="151" t="s">
        <v>23</v>
      </c>
      <c r="C2" s="151" t="s">
        <v>24</v>
      </c>
      <c r="D2" s="152" t="s">
        <v>138</v>
      </c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customFormat="false" ht="18" hidden="false" customHeight="true" outlineLevel="0" collapsed="false">
      <c r="A3" s="153" t="s">
        <v>40</v>
      </c>
      <c r="B3" s="154" t="n">
        <v>5380.65</v>
      </c>
      <c r="C3" s="154" t="n">
        <v>7480.65</v>
      </c>
      <c r="D3" s="154" t="n">
        <v>8380.65</v>
      </c>
      <c r="E3" s="154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customFormat="false" ht="18" hidden="false" customHeight="true" outlineLevel="0" collapsed="false">
      <c r="A4" s="156" t="s">
        <v>42</v>
      </c>
      <c r="B4" s="157" t="n">
        <v>557.86</v>
      </c>
      <c r="C4" s="157" t="n">
        <v>621.23</v>
      </c>
      <c r="D4" s="157" t="n">
        <v>685.64</v>
      </c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 customFormat="false" ht="18" hidden="false" customHeight="true" outlineLevel="0" collapsed="false">
      <c r="A5" s="153" t="s">
        <v>41</v>
      </c>
      <c r="B5" s="154" t="n">
        <v>2278.34</v>
      </c>
      <c r="C5" s="154" t="n">
        <v>2551.98</v>
      </c>
      <c r="D5" s="154" t="n">
        <v>2862.92</v>
      </c>
      <c r="E5" s="154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customFormat="false" ht="18" hidden="false" customHeight="true" outlineLevel="0" collapsed="false">
      <c r="A6" s="156" t="s">
        <v>139</v>
      </c>
      <c r="B6" s="157" t="n">
        <v>985.31</v>
      </c>
      <c r="C6" s="157" t="n">
        <v>1005.15</v>
      </c>
      <c r="D6" s="157" t="n">
        <v>1051.48</v>
      </c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customFormat="false" ht="18" hidden="false" customHeight="true" outlineLevel="0" collapsed="false">
      <c r="A7" s="153" t="s">
        <v>134</v>
      </c>
      <c r="B7" s="154" t="n">
        <v>2544.55</v>
      </c>
      <c r="C7" s="154" t="n">
        <v>2544.55</v>
      </c>
      <c r="D7" s="154" t="n">
        <v>2560.58</v>
      </c>
      <c r="E7" s="154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customFormat="false" ht="18" hidden="false" customHeight="true" outlineLevel="0" collapsed="false">
      <c r="A8" s="156" t="s">
        <v>108</v>
      </c>
      <c r="B8" s="157" t="n">
        <v>3100</v>
      </c>
      <c r="C8" s="157" t="n">
        <v>2300</v>
      </c>
      <c r="D8" s="157" t="n">
        <v>4000</v>
      </c>
      <c r="E8" s="157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</row>
    <row r="9" customFormat="false" ht="18" hidden="false" customHeight="true" outlineLevel="0" collapsed="false">
      <c r="A9" s="153" t="s">
        <v>109</v>
      </c>
      <c r="B9" s="154" t="n">
        <f aca="false">SUM(B3:B8)</f>
        <v>14846.71</v>
      </c>
      <c r="C9" s="154" t="n">
        <f aca="false">SUM(C3:C8)</f>
        <v>16503.56</v>
      </c>
      <c r="D9" s="154" t="n">
        <f aca="false">SUM(D3:D8)</f>
        <v>19541.27</v>
      </c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customFormat="false" ht="18" hidden="false" customHeight="true" outlineLevel="0" collapsed="false">
      <c r="A10" s="159"/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 customFormat="false" ht="18" hidden="false" customHeight="true" outlineLevel="0" collapsed="false">
      <c r="A11" s="161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 customFormat="false" ht="18" hidden="false" customHeight="true" outlineLevel="0" collapsed="false">
      <c r="A12" s="159"/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</row>
    <row r="13" customFormat="false" ht="18" hidden="false" customHeight="true" outlineLevel="0" collapsed="false">
      <c r="A13" s="161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 customFormat="false" ht="18" hidden="false" customHeight="true" outlineLevel="0" collapsed="false">
      <c r="A14" s="159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 customFormat="false" ht="18" hidden="false" customHeight="true" outlineLevel="0" collapsed="false">
      <c r="A15" s="161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 customFormat="false" ht="18" hidden="false" customHeight="true" outlineLevel="0" collapsed="false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</row>
    <row r="17" customFormat="false" ht="18" hidden="false" customHeight="true" outlineLevel="0" collapsed="false">
      <c r="A17" s="16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 customFormat="false" ht="18" hidden="false" customHeight="true" outlineLevel="0" collapsed="false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 customFormat="false" ht="18" hidden="false" customHeight="true" outlineLevel="0" collapsed="false">
      <c r="A19" s="161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 customFormat="false" ht="18" hidden="false" customHeight="true" outlineLevel="0" collapsed="false">
      <c r="A20" s="159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 customFormat="false" ht="18" hidden="false" customHeight="true" outlineLevel="0" collapsed="false">
      <c r="A21" s="161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 customFormat="false" ht="18" hidden="false" customHeight="true" outlineLevel="0" collapsed="false">
      <c r="A22" s="15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 customFormat="false" ht="18" hidden="false" customHeight="true" outlineLevel="0" collapsed="false">
      <c r="A23" s="161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 customFormat="false" ht="18" hidden="false" customHeight="true" outlineLevel="0" collapsed="false">
      <c r="A24" s="159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customFormat="false" ht="18" hidden="false" customHeight="true" outlineLevel="0" collapsed="false">
      <c r="A25" s="161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 customFormat="false" ht="18" hidden="false" customHeight="true" outlineLevel="0" collapsed="false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</row>
    <row r="27" customFormat="false" ht="18" hidden="false" customHeight="true" outlineLevel="0" collapsed="false">
      <c r="A27" s="161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 customFormat="false" ht="18" hidden="false" customHeight="true" outlineLevel="0" collapsed="false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</row>
    <row r="29" customFormat="false" ht="18" hidden="false" customHeight="true" outlineLevel="0" collapsed="false">
      <c r="A29" s="161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 customFormat="false" ht="18" hidden="false" customHeight="true" outlineLevel="0" collapsed="false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</row>
    <row r="31" customFormat="false" ht="18" hidden="false" customHeight="true" outlineLevel="0" collapsed="false">
      <c r="A31" s="161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 customFormat="false" ht="18" hidden="false" customHeight="true" outlineLevel="0" collapsed="false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</row>
    <row r="33" customFormat="false" ht="18" hidden="false" customHeight="true" outlineLevel="0" collapsed="false">
      <c r="A33" s="161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customFormat="false" ht="18" hidden="false" customHeight="true" outlineLevel="0" collapsed="false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</row>
    <row r="35" customFormat="false" ht="18" hidden="false" customHeight="true" outlineLevel="0" collapsed="false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 customFormat="false" ht="18" hidden="false" customHeight="true" outlineLevel="0" collapsed="false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 customFormat="false" ht="18" hidden="false" customHeight="true" outlineLevel="0" collapsed="false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 customFormat="false" ht="18" hidden="false" customHeight="true" outlineLevel="0" collapsed="false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 customFormat="false" ht="18" hidden="false" customHeight="true" outlineLevel="0" collapsed="false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 customFormat="false" ht="18" hidden="false" customHeight="true" outlineLevel="0" collapsed="false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 customFormat="false" ht="18" hidden="false" customHeight="true" outlineLevel="0" collapsed="false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 customFormat="false" ht="18" hidden="false" customHeight="true" outlineLevel="0" collapsed="false">
      <c r="A42" s="159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 customFormat="false" ht="18" hidden="false" customHeight="true" outlineLevel="0" collapsed="false">
      <c r="A43" s="161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customFormat="false" ht="18" hidden="false" customHeight="true" outlineLevel="0" collapsed="false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 customFormat="false" ht="18" hidden="false" customHeight="true" outlineLevel="0" collapsed="false">
      <c r="A45" s="161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customFormat="false" ht="18" hidden="false" customHeight="true" outlineLevel="0" collapsed="false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 customFormat="false" ht="18" hidden="false" customHeight="true" outlineLevel="0" collapsed="false">
      <c r="A47" s="161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customFormat="false" ht="18" hidden="false" customHeight="true" outlineLevel="0" collapsed="false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 customFormat="false" ht="18" hidden="false" customHeight="true" outlineLevel="0" collapsed="false">
      <c r="A49" s="161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customFormat="false" ht="18" hidden="false" customHeight="true" outlineLevel="0" collapsed="false">
      <c r="A50" s="159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 customFormat="false" ht="18" hidden="false" customHeight="true" outlineLevel="0" collapsed="false">
      <c r="A51" s="161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 customFormat="false" ht="18" hidden="false" customHeight="true" outlineLevel="0" collapsed="false">
      <c r="A52" s="159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 customFormat="false" ht="18" hidden="false" customHeight="true" outlineLevel="0" collapsed="false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 customFormat="false" ht="18" hidden="false" customHeight="true" outlineLevel="0" collapsed="false">
      <c r="A54" s="159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 customFormat="false" ht="18" hidden="false" customHeight="true" outlineLevel="0" collapsed="false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 customFormat="false" ht="18" hidden="false" customHeight="true" outlineLevel="0" collapsed="false">
      <c r="A56" s="159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 customFormat="false" ht="18" hidden="false" customHeight="true" outlineLevel="0" collapsed="false">
      <c r="A57" s="161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 customFormat="false" ht="18" hidden="false" customHeight="true" outlineLevel="0" collapsed="false">
      <c r="A58" s="159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 customFormat="false" ht="18" hidden="false" customHeight="true" outlineLevel="0" collapsed="false">
      <c r="A59" s="161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 customFormat="false" ht="18" hidden="false" customHeight="true" outlineLevel="0" collapsed="false">
      <c r="A60" s="159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 customFormat="false" ht="18" hidden="false" customHeight="true" outlineLevel="0" collapsed="false">
      <c r="A61" s="161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 customFormat="false" ht="18" hidden="false" customHeight="true" outlineLevel="0" collapsed="false">
      <c r="A62" s="159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 customFormat="false" ht="18" hidden="false" customHeight="true" outlineLevel="0" collapsed="false">
      <c r="A63" s="161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 customFormat="false" ht="18" hidden="false" customHeight="true" outlineLevel="0" collapsed="false">
      <c r="A64" s="159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 customFormat="false" ht="18" hidden="false" customHeight="true" outlineLevel="0" collapsed="false">
      <c r="A65" s="16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 customFormat="false" ht="18" hidden="false" customHeight="true" outlineLevel="0" collapsed="false">
      <c r="A66" s="159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 customFormat="false" ht="18" hidden="false" customHeight="true" outlineLevel="0" collapsed="false">
      <c r="A67" s="161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 customFormat="false" ht="18" hidden="false" customHeight="true" outlineLevel="0" collapsed="false">
      <c r="A68" s="159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 customFormat="false" ht="18" hidden="false" customHeight="true" outlineLevel="0" collapsed="false">
      <c r="A69" s="161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 customFormat="false" ht="18" hidden="false" customHeight="true" outlineLevel="0" collapsed="false">
      <c r="A70" s="159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 customFormat="false" ht="18" hidden="false" customHeight="true" outlineLevel="0" collapsed="false">
      <c r="A71" s="161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 customFormat="false" ht="18" hidden="false" customHeight="true" outlineLevel="0" collapsed="false">
      <c r="A72" s="159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 customFormat="false" ht="18" hidden="false" customHeight="true" outlineLevel="0" collapsed="false">
      <c r="A73" s="161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 customFormat="false" ht="18" hidden="false" customHeight="true" outlineLevel="0" collapsed="false">
      <c r="A74" s="159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 customFormat="false" ht="18" hidden="false" customHeight="true" outlineLevel="0" collapsed="false">
      <c r="A75" s="161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 customFormat="false" ht="18" hidden="false" customHeight="true" outlineLevel="0" collapsed="false">
      <c r="A76" s="159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 customFormat="false" ht="18" hidden="false" customHeight="true" outlineLevel="0" collapsed="false">
      <c r="A77" s="161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 customFormat="false" ht="18" hidden="false" customHeight="true" outlineLevel="0" collapsed="false">
      <c r="A78" s="159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 customFormat="false" ht="18" hidden="false" customHeight="true" outlineLevel="0" collapsed="false">
      <c r="A79" s="161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 customFormat="false" ht="18" hidden="false" customHeight="true" outlineLevel="0" collapsed="false">
      <c r="A80" s="159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 customFormat="false" ht="18" hidden="false" customHeight="true" outlineLevel="0" collapsed="false">
      <c r="A81" s="161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 customFormat="false" ht="18" hidden="false" customHeight="true" outlineLevel="0" collapsed="false">
      <c r="A82" s="159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 customFormat="false" ht="18" hidden="false" customHeight="true" outlineLevel="0" collapsed="false">
      <c r="A83" s="161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 customFormat="false" ht="18" hidden="false" customHeight="true" outlineLevel="0" collapsed="false">
      <c r="A84" s="159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 customFormat="false" ht="18" hidden="false" customHeight="true" outlineLevel="0" collapsed="false">
      <c r="A85" s="161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 customFormat="false" ht="18" hidden="false" customHeight="true" outlineLevel="0" collapsed="false">
      <c r="A86" s="159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 customFormat="false" ht="18" hidden="false" customHeight="true" outlineLevel="0" collapsed="false">
      <c r="A87" s="161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 customFormat="false" ht="18" hidden="false" customHeight="true" outlineLevel="0" collapsed="false">
      <c r="A88" s="159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 customFormat="false" ht="18" hidden="false" customHeight="true" outlineLevel="0" collapsed="false">
      <c r="A89" s="161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 customFormat="false" ht="18" hidden="false" customHeight="true" outlineLevel="0" collapsed="false">
      <c r="A90" s="159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 customFormat="false" ht="18" hidden="false" customHeight="true" outlineLevel="0" collapsed="false">
      <c r="A91" s="161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 customFormat="false" ht="18" hidden="false" customHeight="true" outlineLevel="0" collapsed="false">
      <c r="A92" s="159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 customFormat="false" ht="18" hidden="false" customHeight="true" outlineLevel="0" collapsed="false">
      <c r="A93" s="161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 customFormat="false" ht="18" hidden="false" customHeight="true" outlineLevel="0" collapsed="false">
      <c r="A94" s="159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 customFormat="false" ht="18" hidden="false" customHeight="true" outlineLevel="0" collapsed="false">
      <c r="A95" s="161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 customFormat="false" ht="18" hidden="false" customHeight="true" outlineLevel="0" collapsed="false">
      <c r="A96" s="159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 customFormat="false" ht="18" hidden="false" customHeight="true" outlineLevel="0" collapsed="false">
      <c r="A97" s="161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 customFormat="false" ht="18" hidden="false" customHeight="true" outlineLevel="0" collapsed="false">
      <c r="A98" s="159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 customFormat="false" ht="18" hidden="false" customHeight="true" outlineLevel="0" collapsed="false">
      <c r="A99" s="161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 customFormat="false" ht="18" hidden="false" customHeight="true" outlineLevel="0" collapsed="false">
      <c r="A100" s="159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 customFormat="false" ht="18" hidden="false" customHeight="true" outlineLevel="0" collapsed="false">
      <c r="A101" s="161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 customFormat="false" ht="18" hidden="false" customHeight="true" outlineLevel="0" collapsed="false">
      <c r="A102" s="159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 customFormat="false" ht="18" hidden="false" customHeight="true" outlineLevel="0" collapsed="false">
      <c r="A103" s="161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 customFormat="false" ht="18" hidden="false" customHeight="true" outlineLevel="0" collapsed="false">
      <c r="A104" s="159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 customFormat="false" ht="18" hidden="false" customHeight="true" outlineLevel="0" collapsed="false">
      <c r="A105" s="161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 customFormat="false" ht="18" hidden="false" customHeight="true" outlineLevel="0" collapsed="false">
      <c r="A106" s="159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 customFormat="false" ht="18" hidden="false" customHeight="true" outlineLevel="0" collapsed="false">
      <c r="A107" s="161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 customFormat="false" ht="18" hidden="false" customHeight="true" outlineLevel="0" collapsed="false">
      <c r="A108" s="159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 customFormat="false" ht="18" hidden="false" customHeight="true" outlineLevel="0" collapsed="false">
      <c r="A109" s="161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 customFormat="false" ht="18" hidden="false" customHeight="true" outlineLevel="0" collapsed="false">
      <c r="A110" s="159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 customFormat="false" ht="18" hidden="false" customHeight="true" outlineLevel="0" collapsed="false">
      <c r="A111" s="161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 customFormat="false" ht="18" hidden="false" customHeight="true" outlineLevel="0" collapsed="false">
      <c r="A112" s="159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 customFormat="false" ht="18" hidden="false" customHeight="true" outlineLevel="0" collapsed="false">
      <c r="A113" s="161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 customFormat="false" ht="18" hidden="false" customHeight="true" outlineLevel="0" collapsed="false">
      <c r="A114" s="159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 customFormat="false" ht="18" hidden="false" customHeight="true" outlineLevel="0" collapsed="false">
      <c r="A115" s="161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 customFormat="false" ht="18" hidden="false" customHeight="true" outlineLevel="0" collapsed="false">
      <c r="A116" s="159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 customFormat="false" ht="18" hidden="false" customHeight="true" outlineLevel="0" collapsed="false">
      <c r="A117" s="161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 customFormat="false" ht="18" hidden="false" customHeight="true" outlineLevel="0" collapsed="false">
      <c r="A118" s="159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 customFormat="false" ht="18" hidden="false" customHeight="true" outlineLevel="0" collapsed="false">
      <c r="A119" s="161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 customFormat="false" ht="18" hidden="false" customHeight="true" outlineLevel="0" collapsed="false">
      <c r="A120" s="159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 customFormat="false" ht="18" hidden="false" customHeight="true" outlineLevel="0" collapsed="false">
      <c r="A121" s="161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 customFormat="false" ht="18" hidden="false" customHeight="true" outlineLevel="0" collapsed="false">
      <c r="A122" s="159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 customFormat="false" ht="18" hidden="false" customHeight="true" outlineLevel="0" collapsed="false">
      <c r="A123" s="161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 customFormat="false" ht="18" hidden="false" customHeight="true" outlineLevel="0" collapsed="false">
      <c r="A124" s="159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 customFormat="false" ht="18" hidden="false" customHeight="true" outlineLevel="0" collapsed="false">
      <c r="A125" s="161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customFormat="false" ht="18" hidden="false" customHeight="true" outlineLevel="0" collapsed="false">
      <c r="A126" s="159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 customFormat="false" ht="18" hidden="false" customHeight="true" outlineLevel="0" collapsed="false">
      <c r="A127" s="161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 customFormat="false" ht="18" hidden="false" customHeight="true" outlineLevel="0" collapsed="false">
      <c r="A128" s="159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 customFormat="false" ht="18" hidden="false" customHeight="true" outlineLevel="0" collapsed="false">
      <c r="A129" s="161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 customFormat="false" ht="18" hidden="false" customHeight="true" outlineLevel="0" collapsed="false">
      <c r="A130" s="159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 customFormat="false" ht="18" hidden="false" customHeight="true" outlineLevel="0" collapsed="false">
      <c r="A131" s="161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 customFormat="false" ht="18" hidden="false" customHeight="true" outlineLevel="0" collapsed="false">
      <c r="A132" s="159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 customFormat="false" ht="18" hidden="false" customHeight="true" outlineLevel="0" collapsed="false">
      <c r="A133" s="161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 customFormat="false" ht="18" hidden="false" customHeight="true" outlineLevel="0" collapsed="false">
      <c r="A134" s="159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 customFormat="false" ht="18" hidden="false" customHeight="true" outlineLevel="0" collapsed="false">
      <c r="A135" s="161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 customFormat="false" ht="18" hidden="false" customHeight="true" outlineLevel="0" collapsed="false">
      <c r="A136" s="159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 customFormat="false" ht="18" hidden="false" customHeight="true" outlineLevel="0" collapsed="false">
      <c r="A137" s="161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 customFormat="false" ht="18" hidden="false" customHeight="true" outlineLevel="0" collapsed="false">
      <c r="A138" s="159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 customFormat="false" ht="18" hidden="false" customHeight="true" outlineLevel="0" collapsed="false">
      <c r="A139" s="161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 customFormat="false" ht="18" hidden="false" customHeight="true" outlineLevel="0" collapsed="false">
      <c r="A140" s="159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 customFormat="false" ht="18" hidden="false" customHeight="true" outlineLevel="0" collapsed="false">
      <c r="A141" s="161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 customFormat="false" ht="18" hidden="false" customHeight="true" outlineLevel="0" collapsed="false">
      <c r="A142" s="159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 customFormat="false" ht="18" hidden="false" customHeight="true" outlineLevel="0" collapsed="false">
      <c r="A143" s="161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 customFormat="false" ht="18" hidden="false" customHeight="true" outlineLevel="0" collapsed="false">
      <c r="A144" s="159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 customFormat="false" ht="18" hidden="false" customHeight="true" outlineLevel="0" collapsed="false">
      <c r="A145" s="161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 customFormat="false" ht="18" hidden="false" customHeight="true" outlineLevel="0" collapsed="false">
      <c r="A146" s="159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 customFormat="false" ht="18" hidden="false" customHeight="true" outlineLevel="0" collapsed="false">
      <c r="A147" s="161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 customFormat="false" ht="18" hidden="false" customHeight="true" outlineLevel="0" collapsed="false">
      <c r="A148" s="159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 customFormat="false" ht="18" hidden="false" customHeight="true" outlineLevel="0" collapsed="false">
      <c r="A149" s="161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 customFormat="false" ht="18" hidden="false" customHeight="true" outlineLevel="0" collapsed="false">
      <c r="A150" s="159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 customFormat="false" ht="18" hidden="false" customHeight="true" outlineLevel="0" collapsed="false">
      <c r="A151" s="161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 customFormat="false" ht="18" hidden="false" customHeight="true" outlineLevel="0" collapsed="false">
      <c r="A152" s="159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 customFormat="false" ht="18" hidden="false" customHeight="true" outlineLevel="0" collapsed="false">
      <c r="A153" s="161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 customFormat="false" ht="18" hidden="false" customHeight="true" outlineLevel="0" collapsed="false">
      <c r="A154" s="159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 customFormat="false" ht="18" hidden="false" customHeight="true" outlineLevel="0" collapsed="false">
      <c r="A155" s="161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 customFormat="false" ht="18" hidden="false" customHeight="true" outlineLevel="0" collapsed="false">
      <c r="A156" s="159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 customFormat="false" ht="18" hidden="false" customHeight="true" outlineLevel="0" collapsed="false">
      <c r="A157" s="161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 customFormat="false" ht="18" hidden="false" customHeight="true" outlineLevel="0" collapsed="false">
      <c r="A158" s="159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 customFormat="false" ht="18" hidden="false" customHeight="true" outlineLevel="0" collapsed="false">
      <c r="A159" s="161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 customFormat="false" ht="18" hidden="false" customHeight="true" outlineLevel="0" collapsed="false">
      <c r="A160" s="159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 customFormat="false" ht="18" hidden="false" customHeight="true" outlineLevel="0" collapsed="false">
      <c r="A161" s="161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 customFormat="false" ht="18" hidden="false" customHeight="true" outlineLevel="0" collapsed="false">
      <c r="A162" s="159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 customFormat="false" ht="18" hidden="false" customHeight="true" outlineLevel="0" collapsed="false">
      <c r="A163" s="161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 customFormat="false" ht="18" hidden="false" customHeight="true" outlineLevel="0" collapsed="false">
      <c r="A164" s="159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 customFormat="false" ht="18" hidden="false" customHeight="true" outlineLevel="0" collapsed="false">
      <c r="A165" s="161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 customFormat="false" ht="18" hidden="false" customHeight="true" outlineLevel="0" collapsed="false">
      <c r="A166" s="159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 customFormat="false" ht="18" hidden="false" customHeight="true" outlineLevel="0" collapsed="false">
      <c r="A167" s="161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 customFormat="false" ht="18" hidden="false" customHeight="true" outlineLevel="0" collapsed="false">
      <c r="A168" s="159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 customFormat="false" ht="18" hidden="false" customHeight="true" outlineLevel="0" collapsed="false">
      <c r="A169" s="161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 customFormat="false" ht="18" hidden="false" customHeight="true" outlineLevel="0" collapsed="false">
      <c r="A170" s="159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 customFormat="false" ht="18" hidden="false" customHeight="true" outlineLevel="0" collapsed="false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 customFormat="false" ht="18" hidden="false" customHeight="true" outlineLevel="0" collapsed="false">
      <c r="A172" s="159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 customFormat="false" ht="18" hidden="false" customHeight="true" outlineLevel="0" collapsed="false">
      <c r="A173" s="161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 customFormat="false" ht="18" hidden="false" customHeight="true" outlineLevel="0" collapsed="false">
      <c r="A174" s="159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 customFormat="false" ht="18" hidden="false" customHeight="true" outlineLevel="0" collapsed="false">
      <c r="A175" s="161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 customFormat="false" ht="18" hidden="false" customHeight="true" outlineLevel="0" collapsed="false">
      <c r="A176" s="159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 customFormat="false" ht="18" hidden="false" customHeight="true" outlineLevel="0" collapsed="false">
      <c r="A177" s="161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 customFormat="false" ht="18" hidden="false" customHeight="true" outlineLevel="0" collapsed="false">
      <c r="A178" s="159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 customFormat="false" ht="18" hidden="false" customHeight="true" outlineLevel="0" collapsed="false">
      <c r="A179" s="161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 customFormat="false" ht="18" hidden="false" customHeight="true" outlineLevel="0" collapsed="false">
      <c r="A180" s="159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 customFormat="false" ht="18" hidden="false" customHeight="true" outlineLevel="0" collapsed="false">
      <c r="A181" s="161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 customFormat="false" ht="18" hidden="false" customHeight="true" outlineLevel="0" collapsed="false">
      <c r="A182" s="159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 customFormat="false" ht="18" hidden="false" customHeight="true" outlineLevel="0" collapsed="false">
      <c r="A183" s="161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 customFormat="false" ht="18" hidden="false" customHeight="true" outlineLevel="0" collapsed="false">
      <c r="A184" s="159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 customFormat="false" ht="18" hidden="false" customHeight="true" outlineLevel="0" collapsed="false">
      <c r="A185" s="161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 customFormat="false" ht="18" hidden="false" customHeight="true" outlineLevel="0" collapsed="false">
      <c r="A186" s="159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 customFormat="false" ht="18" hidden="false" customHeight="true" outlineLevel="0" collapsed="false">
      <c r="A187" s="161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 customFormat="false" ht="18" hidden="false" customHeight="true" outlineLevel="0" collapsed="false">
      <c r="A188" s="159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 customFormat="false" ht="18" hidden="false" customHeight="true" outlineLevel="0" collapsed="false">
      <c r="A189" s="161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 customFormat="false" ht="18" hidden="false" customHeight="true" outlineLevel="0" collapsed="false">
      <c r="A190" s="159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 customFormat="false" ht="18" hidden="false" customHeight="true" outlineLevel="0" collapsed="false">
      <c r="A191" s="161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 customFormat="false" ht="18" hidden="false" customHeight="true" outlineLevel="0" collapsed="false">
      <c r="A192" s="159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 customFormat="false" ht="18" hidden="false" customHeight="true" outlineLevel="0" collapsed="false">
      <c r="A193" s="161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 customFormat="false" ht="18" hidden="false" customHeight="true" outlineLevel="0" collapsed="false">
      <c r="A194" s="159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 customFormat="false" ht="18" hidden="false" customHeight="true" outlineLevel="0" collapsed="false">
      <c r="A195" s="161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 customFormat="false" ht="18" hidden="false" customHeight="true" outlineLevel="0" collapsed="false">
      <c r="A196" s="159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 customFormat="false" ht="18" hidden="false" customHeight="true" outlineLevel="0" collapsed="false">
      <c r="A197" s="161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 customFormat="false" ht="18" hidden="false" customHeight="true" outlineLevel="0" collapsed="false">
      <c r="A198" s="159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 customFormat="false" ht="18" hidden="false" customHeight="true" outlineLevel="0" collapsed="false">
      <c r="A199" s="161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 customFormat="false" ht="18" hidden="false" customHeight="true" outlineLevel="0" collapsed="false">
      <c r="A200" s="159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 customFormat="false" ht="18" hidden="false" customHeight="true" outlineLevel="0" collapsed="false">
      <c r="A201" s="161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 customFormat="false" ht="18" hidden="false" customHeight="true" outlineLevel="0" collapsed="false">
      <c r="A202" s="159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 customFormat="false" ht="18" hidden="false" customHeight="true" outlineLevel="0" collapsed="false">
      <c r="A203" s="161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 customFormat="false" ht="18" hidden="false" customHeight="true" outlineLevel="0" collapsed="false">
      <c r="A204" s="159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 customFormat="false" ht="18" hidden="false" customHeight="true" outlineLevel="0" collapsed="false">
      <c r="A205" s="161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 customFormat="false" ht="18" hidden="false" customHeight="true" outlineLevel="0" collapsed="false">
      <c r="A206" s="159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 customFormat="false" ht="18" hidden="false" customHeight="true" outlineLevel="0" collapsed="false">
      <c r="A207" s="161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 customFormat="false" ht="18" hidden="false" customHeight="true" outlineLevel="0" collapsed="false">
      <c r="A208" s="159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 customFormat="false" ht="18" hidden="false" customHeight="true" outlineLevel="0" collapsed="false">
      <c r="A209" s="161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 customFormat="false" ht="18" hidden="false" customHeight="true" outlineLevel="0" collapsed="false">
      <c r="A210" s="159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 customFormat="false" ht="18" hidden="false" customHeight="true" outlineLevel="0" collapsed="false">
      <c r="A211" s="161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 customFormat="false" ht="18" hidden="false" customHeight="true" outlineLevel="0" collapsed="false">
      <c r="A212" s="159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 customFormat="false" ht="18" hidden="false" customHeight="true" outlineLevel="0" collapsed="false">
      <c r="A213" s="161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 customFormat="false" ht="18" hidden="false" customHeight="true" outlineLevel="0" collapsed="false">
      <c r="A214" s="159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 customFormat="false" ht="18" hidden="false" customHeight="true" outlineLevel="0" collapsed="false">
      <c r="A215" s="161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 customFormat="false" ht="18" hidden="false" customHeight="true" outlineLevel="0" collapsed="false">
      <c r="A216" s="159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 customFormat="false" ht="18" hidden="false" customHeight="true" outlineLevel="0" collapsed="false">
      <c r="A217" s="161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 customFormat="false" ht="18" hidden="false" customHeight="true" outlineLevel="0" collapsed="false">
      <c r="A218" s="159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customFormat="false" ht="18" hidden="false" customHeight="true" outlineLevel="0" collapsed="false">
      <c r="A219" s="161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 customFormat="false" ht="18" hidden="false" customHeight="true" outlineLevel="0" collapsed="false">
      <c r="A220" s="159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 customFormat="false" ht="18" hidden="false" customHeight="true" outlineLevel="0" collapsed="false">
      <c r="A221" s="161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 customFormat="false" ht="18" hidden="false" customHeight="true" outlineLevel="0" collapsed="false">
      <c r="A222" s="159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 customFormat="false" ht="18" hidden="false" customHeight="true" outlineLevel="0" collapsed="false">
      <c r="A223" s="161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 customFormat="false" ht="18" hidden="false" customHeight="true" outlineLevel="0" collapsed="false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 customFormat="false" ht="18" hidden="false" customHeight="true" outlineLevel="0" collapsed="false">
      <c r="A225" s="161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 customFormat="false" ht="18" hidden="false" customHeight="true" outlineLevel="0" collapsed="false">
      <c r="A226" s="159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 customFormat="false" ht="18" hidden="false" customHeight="true" outlineLevel="0" collapsed="false">
      <c r="A227" s="161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 customFormat="false" ht="18" hidden="false" customHeight="true" outlineLevel="0" collapsed="false">
      <c r="A228" s="159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 customFormat="false" ht="18" hidden="false" customHeight="true" outlineLevel="0" collapsed="false">
      <c r="A229" s="161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 customFormat="false" ht="18" hidden="false" customHeight="true" outlineLevel="0" collapsed="false">
      <c r="A230" s="159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 customFormat="false" ht="18" hidden="false" customHeight="true" outlineLevel="0" collapsed="false">
      <c r="A231" s="161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 customFormat="false" ht="18" hidden="false" customHeight="true" outlineLevel="0" collapsed="false">
      <c r="A232" s="159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 customFormat="false" ht="18" hidden="false" customHeight="true" outlineLevel="0" collapsed="false">
      <c r="A233" s="161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 customFormat="false" ht="18" hidden="false" customHeight="true" outlineLevel="0" collapsed="false">
      <c r="A234" s="159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 customFormat="false" ht="18" hidden="false" customHeight="true" outlineLevel="0" collapsed="false">
      <c r="A235" s="161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 customFormat="false" ht="18" hidden="false" customHeight="true" outlineLevel="0" collapsed="false">
      <c r="A236" s="159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 customFormat="false" ht="18" hidden="false" customHeight="true" outlineLevel="0" collapsed="false">
      <c r="A237" s="161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 customFormat="false" ht="18" hidden="false" customHeight="true" outlineLevel="0" collapsed="false">
      <c r="A238" s="159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 customFormat="false" ht="18" hidden="false" customHeight="true" outlineLevel="0" collapsed="false">
      <c r="A239" s="161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 customFormat="false" ht="18" hidden="false" customHeight="true" outlineLevel="0" collapsed="false">
      <c r="A240" s="159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 customFormat="false" ht="18" hidden="false" customHeight="true" outlineLevel="0" collapsed="false">
      <c r="A241" s="161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 customFormat="false" ht="18" hidden="false" customHeight="true" outlineLevel="0" collapsed="false">
      <c r="A242" s="159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 customFormat="false" ht="18" hidden="false" customHeight="true" outlineLevel="0" collapsed="false">
      <c r="A243" s="161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 customFormat="false" ht="18" hidden="false" customHeight="true" outlineLevel="0" collapsed="false">
      <c r="A244" s="159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 customFormat="false" ht="18" hidden="false" customHeight="true" outlineLevel="0" collapsed="false">
      <c r="A245" s="161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 customFormat="false" ht="18" hidden="false" customHeight="true" outlineLevel="0" collapsed="false">
      <c r="A246" s="159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 customFormat="false" ht="18" hidden="false" customHeight="true" outlineLevel="0" collapsed="false">
      <c r="A247" s="161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 customFormat="false" ht="18" hidden="false" customHeight="true" outlineLevel="0" collapsed="false">
      <c r="A248" s="159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 customFormat="false" ht="18" hidden="false" customHeight="true" outlineLevel="0" collapsed="false">
      <c r="A249" s="161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 customFormat="false" ht="18" hidden="false" customHeight="true" outlineLevel="0" collapsed="false">
      <c r="A250" s="159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 customFormat="false" ht="18" hidden="false" customHeight="true" outlineLevel="0" collapsed="false">
      <c r="A251" s="161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 customFormat="false" ht="18" hidden="false" customHeight="true" outlineLevel="0" collapsed="false">
      <c r="A252" s="159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 customFormat="false" ht="18" hidden="false" customHeight="true" outlineLevel="0" collapsed="false">
      <c r="A253" s="161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 customFormat="false" ht="18" hidden="false" customHeight="true" outlineLevel="0" collapsed="false">
      <c r="A254" s="159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 customFormat="false" ht="18" hidden="false" customHeight="true" outlineLevel="0" collapsed="false">
      <c r="A255" s="161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 customFormat="false" ht="18" hidden="false" customHeight="true" outlineLevel="0" collapsed="false">
      <c r="A256" s="159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 customFormat="false" ht="18" hidden="false" customHeight="true" outlineLevel="0" collapsed="false">
      <c r="A257" s="161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 customFormat="false" ht="18" hidden="false" customHeight="true" outlineLevel="0" collapsed="false">
      <c r="A258" s="159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 customFormat="false" ht="18" hidden="false" customHeight="true" outlineLevel="0" collapsed="false">
      <c r="A259" s="161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 customFormat="false" ht="18" hidden="false" customHeight="true" outlineLevel="0" collapsed="false">
      <c r="A260" s="159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 customFormat="false" ht="18" hidden="false" customHeight="true" outlineLevel="0" collapsed="false">
      <c r="A261" s="161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 customFormat="false" ht="18" hidden="false" customHeight="true" outlineLevel="0" collapsed="false">
      <c r="A262" s="159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 customFormat="false" ht="18" hidden="false" customHeight="true" outlineLevel="0" collapsed="false">
      <c r="A263" s="161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 customFormat="false" ht="18" hidden="false" customHeight="true" outlineLevel="0" collapsed="false">
      <c r="A264" s="159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 customFormat="false" ht="18" hidden="false" customHeight="true" outlineLevel="0" collapsed="false">
      <c r="A265" s="161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 customFormat="false" ht="18" hidden="false" customHeight="true" outlineLevel="0" collapsed="false">
      <c r="A266" s="159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 customFormat="false" ht="18" hidden="false" customHeight="true" outlineLevel="0" collapsed="false">
      <c r="A267" s="161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 customFormat="false" ht="18" hidden="false" customHeight="true" outlineLevel="0" collapsed="false">
      <c r="A268" s="159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 customFormat="false" ht="18" hidden="false" customHeight="true" outlineLevel="0" collapsed="false">
      <c r="A269" s="161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 customFormat="false" ht="18" hidden="false" customHeight="true" outlineLevel="0" collapsed="false">
      <c r="A270" s="159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 customFormat="false" ht="18" hidden="false" customHeight="true" outlineLevel="0" collapsed="false">
      <c r="A271" s="161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 customFormat="false" ht="18" hidden="false" customHeight="true" outlineLevel="0" collapsed="false">
      <c r="A272" s="159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 customFormat="false" ht="18" hidden="false" customHeight="true" outlineLevel="0" collapsed="false">
      <c r="A273" s="161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 customFormat="false" ht="18" hidden="false" customHeight="true" outlineLevel="0" collapsed="false">
      <c r="A274" s="159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 customFormat="false" ht="18" hidden="false" customHeight="true" outlineLevel="0" collapsed="false">
      <c r="A275" s="161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 customFormat="false" ht="18" hidden="false" customHeight="true" outlineLevel="0" collapsed="false">
      <c r="A276" s="159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 customFormat="false" ht="18" hidden="false" customHeight="true" outlineLevel="0" collapsed="false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 customFormat="false" ht="18" hidden="false" customHeight="true" outlineLevel="0" collapsed="false">
      <c r="A278" s="159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 customFormat="false" ht="18" hidden="false" customHeight="true" outlineLevel="0" collapsed="false">
      <c r="A279" s="161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 customFormat="false" ht="18" hidden="false" customHeight="true" outlineLevel="0" collapsed="false">
      <c r="A280" s="159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 customFormat="false" ht="18" hidden="false" customHeight="true" outlineLevel="0" collapsed="false">
      <c r="A281" s="161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 customFormat="false" ht="18" hidden="false" customHeight="true" outlineLevel="0" collapsed="false">
      <c r="A282" s="159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 customFormat="false" ht="18" hidden="false" customHeight="true" outlineLevel="0" collapsed="false">
      <c r="A283" s="161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 customFormat="false" ht="18" hidden="false" customHeight="true" outlineLevel="0" collapsed="false">
      <c r="A284" s="159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 customFormat="false" ht="18" hidden="false" customHeight="true" outlineLevel="0" collapsed="false">
      <c r="A285" s="161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 customFormat="false" ht="18" hidden="false" customHeight="true" outlineLevel="0" collapsed="false">
      <c r="A286" s="159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 customFormat="false" ht="18" hidden="false" customHeight="true" outlineLevel="0" collapsed="false">
      <c r="A287" s="161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 customFormat="false" ht="18" hidden="false" customHeight="true" outlineLevel="0" collapsed="false">
      <c r="A288" s="159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 customFormat="false" ht="18" hidden="false" customHeight="true" outlineLevel="0" collapsed="false">
      <c r="A289" s="161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 customFormat="false" ht="18" hidden="false" customHeight="true" outlineLevel="0" collapsed="false">
      <c r="A290" s="159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 customFormat="false" ht="18" hidden="false" customHeight="true" outlineLevel="0" collapsed="false">
      <c r="A291" s="161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 customFormat="false" ht="18" hidden="false" customHeight="true" outlineLevel="0" collapsed="false">
      <c r="A292" s="159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 customFormat="false" ht="18" hidden="false" customHeight="true" outlineLevel="0" collapsed="false">
      <c r="A293" s="161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 customFormat="false" ht="18" hidden="false" customHeight="true" outlineLevel="0" collapsed="false">
      <c r="A294" s="159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 customFormat="false" ht="18" hidden="false" customHeight="true" outlineLevel="0" collapsed="false">
      <c r="A295" s="161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 customFormat="false" ht="18" hidden="false" customHeight="true" outlineLevel="0" collapsed="false">
      <c r="A296" s="159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 customFormat="false" ht="18" hidden="false" customHeight="true" outlineLevel="0" collapsed="false">
      <c r="A297" s="161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 customFormat="false" ht="18" hidden="false" customHeight="true" outlineLevel="0" collapsed="false">
      <c r="A298" s="159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 customFormat="false" ht="18" hidden="false" customHeight="true" outlineLevel="0" collapsed="false">
      <c r="A299" s="161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 customFormat="false" ht="18" hidden="false" customHeight="true" outlineLevel="0" collapsed="false">
      <c r="A300" s="159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 customFormat="false" ht="18" hidden="false" customHeight="true" outlineLevel="0" collapsed="false">
      <c r="A301" s="161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 customFormat="false" ht="18" hidden="false" customHeight="true" outlineLevel="0" collapsed="false">
      <c r="A302" s="159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 customFormat="false" ht="18" hidden="false" customHeight="true" outlineLevel="0" collapsed="false">
      <c r="A303" s="161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 customFormat="false" ht="18" hidden="false" customHeight="true" outlineLevel="0" collapsed="false">
      <c r="A304" s="159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 customFormat="false" ht="18" hidden="false" customHeight="true" outlineLevel="0" collapsed="false">
      <c r="A305" s="161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 customFormat="false" ht="18" hidden="false" customHeight="true" outlineLevel="0" collapsed="false">
      <c r="A306" s="159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 customFormat="false" ht="18" hidden="false" customHeight="true" outlineLevel="0" collapsed="false">
      <c r="A307" s="161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 customFormat="false" ht="18" hidden="false" customHeight="true" outlineLevel="0" collapsed="false">
      <c r="A308" s="159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 customFormat="false" ht="18" hidden="false" customHeight="true" outlineLevel="0" collapsed="false">
      <c r="A309" s="161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 customFormat="false" ht="18" hidden="false" customHeight="true" outlineLevel="0" collapsed="false">
      <c r="A310" s="159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 customFormat="false" ht="18" hidden="false" customHeight="true" outlineLevel="0" collapsed="false">
      <c r="A311" s="161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 customFormat="false" ht="18" hidden="false" customHeight="true" outlineLevel="0" collapsed="false">
      <c r="A312" s="159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 customFormat="false" ht="18" hidden="false" customHeight="true" outlineLevel="0" collapsed="false">
      <c r="A313" s="161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 customFormat="false" ht="18" hidden="false" customHeight="true" outlineLevel="0" collapsed="false">
      <c r="A314" s="159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 customFormat="false" ht="18" hidden="false" customHeight="true" outlineLevel="0" collapsed="false">
      <c r="A315" s="161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 customFormat="false" ht="18" hidden="false" customHeight="true" outlineLevel="0" collapsed="false">
      <c r="A316" s="159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 customFormat="false" ht="18" hidden="false" customHeight="true" outlineLevel="0" collapsed="false">
      <c r="A317" s="161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 customFormat="false" ht="18" hidden="false" customHeight="true" outlineLevel="0" collapsed="false">
      <c r="A318" s="159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 customFormat="false" ht="18" hidden="false" customHeight="true" outlineLevel="0" collapsed="false">
      <c r="A319" s="161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 customFormat="false" ht="18" hidden="false" customHeight="true" outlineLevel="0" collapsed="false">
      <c r="A320" s="159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 customFormat="false" ht="18" hidden="false" customHeight="true" outlineLevel="0" collapsed="false">
      <c r="A321" s="161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 customFormat="false" ht="18" hidden="false" customHeight="true" outlineLevel="0" collapsed="false">
      <c r="A322" s="159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 customFormat="false" ht="18" hidden="false" customHeight="true" outlineLevel="0" collapsed="false">
      <c r="A323" s="161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 customFormat="false" ht="18" hidden="false" customHeight="true" outlineLevel="0" collapsed="false">
      <c r="A324" s="159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 customFormat="false" ht="18" hidden="false" customHeight="true" outlineLevel="0" collapsed="false">
      <c r="A325" s="161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 customFormat="false" ht="18" hidden="false" customHeight="true" outlineLevel="0" collapsed="false">
      <c r="A326" s="159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 customFormat="false" ht="18" hidden="false" customHeight="true" outlineLevel="0" collapsed="false">
      <c r="A327" s="161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 customFormat="false" ht="18" hidden="false" customHeight="true" outlineLevel="0" collapsed="false">
      <c r="A328" s="159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 customFormat="false" ht="18" hidden="false" customHeight="true" outlineLevel="0" collapsed="false">
      <c r="A329" s="161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 customFormat="false" ht="18" hidden="false" customHeight="true" outlineLevel="0" collapsed="false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 customFormat="false" ht="18" hidden="false" customHeight="true" outlineLevel="0" collapsed="false">
      <c r="A331" s="161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 customFormat="false" ht="18" hidden="false" customHeight="true" outlineLevel="0" collapsed="false">
      <c r="A332" s="159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 customFormat="false" ht="18" hidden="false" customHeight="true" outlineLevel="0" collapsed="false">
      <c r="A333" s="161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 customFormat="false" ht="18" hidden="false" customHeight="true" outlineLevel="0" collapsed="false">
      <c r="A334" s="159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 customFormat="false" ht="18" hidden="false" customHeight="true" outlineLevel="0" collapsed="false">
      <c r="A335" s="161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 customFormat="false" ht="18" hidden="false" customHeight="true" outlineLevel="0" collapsed="false">
      <c r="A336" s="159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 customFormat="false" ht="18" hidden="false" customHeight="true" outlineLevel="0" collapsed="false">
      <c r="A337" s="161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 customFormat="false" ht="18" hidden="false" customHeight="true" outlineLevel="0" collapsed="false">
      <c r="A338" s="159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 customFormat="false" ht="18" hidden="false" customHeight="true" outlineLevel="0" collapsed="false">
      <c r="A339" s="161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 customFormat="false" ht="18" hidden="false" customHeight="true" outlineLevel="0" collapsed="false">
      <c r="A340" s="159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 customFormat="false" ht="18" hidden="false" customHeight="true" outlineLevel="0" collapsed="false">
      <c r="A341" s="161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 customFormat="false" ht="18" hidden="false" customHeight="true" outlineLevel="0" collapsed="false">
      <c r="A342" s="159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 customFormat="false" ht="18" hidden="false" customHeight="true" outlineLevel="0" collapsed="false">
      <c r="A343" s="161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 customFormat="false" ht="18" hidden="false" customHeight="true" outlineLevel="0" collapsed="false">
      <c r="A344" s="159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 customFormat="false" ht="18" hidden="false" customHeight="true" outlineLevel="0" collapsed="false">
      <c r="A345" s="161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 customFormat="false" ht="18" hidden="false" customHeight="true" outlineLevel="0" collapsed="false">
      <c r="A346" s="159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 customFormat="false" ht="18" hidden="false" customHeight="true" outlineLevel="0" collapsed="false">
      <c r="A347" s="161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 customFormat="false" ht="18" hidden="false" customHeight="true" outlineLevel="0" collapsed="false">
      <c r="A348" s="159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 customFormat="false" ht="18" hidden="false" customHeight="true" outlineLevel="0" collapsed="false">
      <c r="A349" s="161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 customFormat="false" ht="18" hidden="false" customHeight="true" outlineLevel="0" collapsed="false">
      <c r="A350" s="159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 customFormat="false" ht="18" hidden="false" customHeight="true" outlineLevel="0" collapsed="false">
      <c r="A351" s="161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 customFormat="false" ht="18" hidden="false" customHeight="true" outlineLevel="0" collapsed="false">
      <c r="A352" s="159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 customFormat="false" ht="18" hidden="false" customHeight="true" outlineLevel="0" collapsed="false">
      <c r="A353" s="161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 customFormat="false" ht="18" hidden="false" customHeight="true" outlineLevel="0" collapsed="false">
      <c r="A354" s="159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 customFormat="false" ht="18" hidden="false" customHeight="true" outlineLevel="0" collapsed="false">
      <c r="A355" s="161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 customFormat="false" ht="18" hidden="false" customHeight="true" outlineLevel="0" collapsed="false">
      <c r="A356" s="159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 customFormat="false" ht="18" hidden="false" customHeight="true" outlineLevel="0" collapsed="false">
      <c r="A357" s="161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 customFormat="false" ht="18" hidden="false" customHeight="true" outlineLevel="0" collapsed="false">
      <c r="A358" s="159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 customFormat="false" ht="18" hidden="false" customHeight="true" outlineLevel="0" collapsed="false">
      <c r="A359" s="161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 customFormat="false" ht="18" hidden="false" customHeight="true" outlineLevel="0" collapsed="false">
      <c r="A360" s="159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 customFormat="false" ht="18" hidden="false" customHeight="true" outlineLevel="0" collapsed="false">
      <c r="A361" s="161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 customFormat="false" ht="18" hidden="false" customHeight="true" outlineLevel="0" collapsed="false">
      <c r="A362" s="159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 customFormat="false" ht="18" hidden="false" customHeight="true" outlineLevel="0" collapsed="false">
      <c r="A363" s="161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 customFormat="false" ht="18" hidden="false" customHeight="true" outlineLevel="0" collapsed="false">
      <c r="A364" s="159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 customFormat="false" ht="18" hidden="false" customHeight="true" outlineLevel="0" collapsed="false">
      <c r="A365" s="161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 customFormat="false" ht="18" hidden="false" customHeight="true" outlineLevel="0" collapsed="false">
      <c r="A366" s="159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 customFormat="false" ht="18" hidden="false" customHeight="true" outlineLevel="0" collapsed="false">
      <c r="A367" s="161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 customFormat="false" ht="18" hidden="false" customHeight="true" outlineLevel="0" collapsed="false">
      <c r="A368" s="159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 customFormat="false" ht="18" hidden="false" customHeight="true" outlineLevel="0" collapsed="false">
      <c r="A369" s="161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 customFormat="false" ht="18" hidden="false" customHeight="true" outlineLevel="0" collapsed="false">
      <c r="A370" s="159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 customFormat="false" ht="18" hidden="false" customHeight="true" outlineLevel="0" collapsed="false">
      <c r="A371" s="161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 customFormat="false" ht="18" hidden="false" customHeight="true" outlineLevel="0" collapsed="false">
      <c r="A372" s="159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 customFormat="false" ht="18" hidden="false" customHeight="true" outlineLevel="0" collapsed="false">
      <c r="A373" s="161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 customFormat="false" ht="18" hidden="false" customHeight="true" outlineLevel="0" collapsed="false">
      <c r="A374" s="159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 customFormat="false" ht="18" hidden="false" customHeight="true" outlineLevel="0" collapsed="false">
      <c r="A375" s="161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 customFormat="false" ht="18" hidden="false" customHeight="true" outlineLevel="0" collapsed="false">
      <c r="A376" s="159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 customFormat="false" ht="18" hidden="false" customHeight="true" outlineLevel="0" collapsed="false">
      <c r="A377" s="161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 customFormat="false" ht="18" hidden="false" customHeight="true" outlineLevel="0" collapsed="false">
      <c r="A378" s="159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 customFormat="false" ht="18" hidden="false" customHeight="true" outlineLevel="0" collapsed="false">
      <c r="A379" s="161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 customFormat="false" ht="18" hidden="false" customHeight="true" outlineLevel="0" collapsed="false">
      <c r="A380" s="159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 customFormat="false" ht="18" hidden="false" customHeight="true" outlineLevel="0" collapsed="false">
      <c r="A381" s="161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 customFormat="false" ht="18" hidden="false" customHeight="true" outlineLevel="0" collapsed="false">
      <c r="A382" s="159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 customFormat="false" ht="18" hidden="false" customHeight="true" outlineLevel="0" collapsed="false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 customFormat="false" ht="18" hidden="false" customHeight="true" outlineLevel="0" collapsed="false">
      <c r="A384" s="159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 customFormat="false" ht="18" hidden="false" customHeight="true" outlineLevel="0" collapsed="false">
      <c r="A385" s="161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 customFormat="false" ht="18" hidden="false" customHeight="true" outlineLevel="0" collapsed="false">
      <c r="A386" s="159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 customFormat="false" ht="18" hidden="false" customHeight="true" outlineLevel="0" collapsed="false">
      <c r="A387" s="161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 customFormat="false" ht="18" hidden="false" customHeight="true" outlineLevel="0" collapsed="false">
      <c r="A388" s="159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 customFormat="false" ht="18" hidden="false" customHeight="true" outlineLevel="0" collapsed="false">
      <c r="A389" s="161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 customFormat="false" ht="18" hidden="false" customHeight="true" outlineLevel="0" collapsed="false">
      <c r="A390" s="159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 customFormat="false" ht="18" hidden="false" customHeight="true" outlineLevel="0" collapsed="false">
      <c r="A391" s="161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 customFormat="false" ht="18" hidden="false" customHeight="true" outlineLevel="0" collapsed="false">
      <c r="A392" s="159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 customFormat="false" ht="18" hidden="false" customHeight="true" outlineLevel="0" collapsed="false">
      <c r="A393" s="161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 customFormat="false" ht="18" hidden="false" customHeight="true" outlineLevel="0" collapsed="false">
      <c r="A394" s="159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 customFormat="false" ht="18" hidden="false" customHeight="true" outlineLevel="0" collapsed="false">
      <c r="A395" s="161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 customFormat="false" ht="18" hidden="false" customHeight="true" outlineLevel="0" collapsed="false">
      <c r="A396" s="159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 customFormat="false" ht="18" hidden="false" customHeight="true" outlineLevel="0" collapsed="false">
      <c r="A397" s="161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 customFormat="false" ht="18" hidden="false" customHeight="true" outlineLevel="0" collapsed="false">
      <c r="A398" s="159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 customFormat="false" ht="18" hidden="false" customHeight="true" outlineLevel="0" collapsed="false">
      <c r="A399" s="161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 customFormat="false" ht="18" hidden="false" customHeight="true" outlineLevel="0" collapsed="false">
      <c r="A400" s="159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 customFormat="false" ht="18" hidden="false" customHeight="true" outlineLevel="0" collapsed="false">
      <c r="A401" s="161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 customFormat="false" ht="18" hidden="false" customHeight="true" outlineLevel="0" collapsed="false">
      <c r="A402" s="159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 customFormat="false" ht="18" hidden="false" customHeight="true" outlineLevel="0" collapsed="false">
      <c r="A403" s="161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 customFormat="false" ht="18" hidden="false" customHeight="true" outlineLevel="0" collapsed="false">
      <c r="A404" s="159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 customFormat="false" ht="18" hidden="false" customHeight="true" outlineLevel="0" collapsed="false">
      <c r="A405" s="161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 customFormat="false" ht="18" hidden="false" customHeight="true" outlineLevel="0" collapsed="false">
      <c r="A406" s="159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 customFormat="false" ht="18" hidden="false" customHeight="true" outlineLevel="0" collapsed="false">
      <c r="A407" s="161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 customFormat="false" ht="18" hidden="false" customHeight="true" outlineLevel="0" collapsed="false">
      <c r="A408" s="159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 customFormat="false" ht="18" hidden="false" customHeight="true" outlineLevel="0" collapsed="false">
      <c r="A409" s="161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 customFormat="false" ht="18" hidden="false" customHeight="true" outlineLevel="0" collapsed="false">
      <c r="A410" s="159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 customFormat="false" ht="18" hidden="false" customHeight="true" outlineLevel="0" collapsed="false">
      <c r="A411" s="161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 customFormat="false" ht="18" hidden="false" customHeight="true" outlineLevel="0" collapsed="false">
      <c r="A412" s="159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 customFormat="false" ht="18" hidden="false" customHeight="true" outlineLevel="0" collapsed="false">
      <c r="A413" s="161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 customFormat="false" ht="18" hidden="false" customHeight="true" outlineLevel="0" collapsed="false">
      <c r="A414" s="159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 customFormat="false" ht="18" hidden="false" customHeight="true" outlineLevel="0" collapsed="false">
      <c r="A415" s="161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 customFormat="false" ht="18" hidden="false" customHeight="true" outlineLevel="0" collapsed="false">
      <c r="A416" s="159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 customFormat="false" ht="18" hidden="false" customHeight="true" outlineLevel="0" collapsed="false">
      <c r="A417" s="161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 customFormat="false" ht="18" hidden="false" customHeight="true" outlineLevel="0" collapsed="false">
      <c r="A418" s="159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 customFormat="false" ht="18" hidden="false" customHeight="true" outlineLevel="0" collapsed="false">
      <c r="A419" s="161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 customFormat="false" ht="18" hidden="false" customHeight="true" outlineLevel="0" collapsed="false">
      <c r="A420" s="159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 customFormat="false" ht="18" hidden="false" customHeight="true" outlineLevel="0" collapsed="false">
      <c r="A421" s="161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 customFormat="false" ht="18" hidden="false" customHeight="true" outlineLevel="0" collapsed="false">
      <c r="A422" s="159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 customFormat="false" ht="18" hidden="false" customHeight="true" outlineLevel="0" collapsed="false">
      <c r="A423" s="161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 customFormat="false" ht="18" hidden="false" customHeight="true" outlineLevel="0" collapsed="false">
      <c r="A424" s="159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 customFormat="false" ht="18" hidden="false" customHeight="true" outlineLevel="0" collapsed="false">
      <c r="A425" s="161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 customFormat="false" ht="18" hidden="false" customHeight="true" outlineLevel="0" collapsed="false">
      <c r="A426" s="159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 customFormat="false" ht="18" hidden="false" customHeight="true" outlineLevel="0" collapsed="false">
      <c r="A427" s="161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 customFormat="false" ht="18" hidden="false" customHeight="true" outlineLevel="0" collapsed="false">
      <c r="A428" s="159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 customFormat="false" ht="18" hidden="false" customHeight="true" outlineLevel="0" collapsed="false">
      <c r="A429" s="161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 customFormat="false" ht="18" hidden="false" customHeight="true" outlineLevel="0" collapsed="false">
      <c r="A430" s="159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 customFormat="false" ht="18" hidden="false" customHeight="true" outlineLevel="0" collapsed="false">
      <c r="A431" s="161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 customFormat="false" ht="18" hidden="false" customHeight="true" outlineLevel="0" collapsed="false">
      <c r="A432" s="159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 customFormat="false" ht="18" hidden="false" customHeight="true" outlineLevel="0" collapsed="false">
      <c r="A433" s="161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 customFormat="false" ht="18" hidden="false" customHeight="true" outlineLevel="0" collapsed="false">
      <c r="A434" s="159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 customFormat="false" ht="18" hidden="false" customHeight="true" outlineLevel="0" collapsed="false">
      <c r="A435" s="161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 customFormat="false" ht="18" hidden="false" customHeight="true" outlineLevel="0" collapsed="false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 customFormat="false" ht="18" hidden="false" customHeight="true" outlineLevel="0" collapsed="false">
      <c r="A437" s="161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 customFormat="false" ht="18" hidden="false" customHeight="true" outlineLevel="0" collapsed="false">
      <c r="A438" s="159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 customFormat="false" ht="18" hidden="false" customHeight="true" outlineLevel="0" collapsed="false">
      <c r="A439" s="161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 customFormat="false" ht="18" hidden="false" customHeight="true" outlineLevel="0" collapsed="false">
      <c r="A440" s="159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 customFormat="false" ht="18" hidden="false" customHeight="true" outlineLevel="0" collapsed="false">
      <c r="A441" s="161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 customFormat="false" ht="18" hidden="false" customHeight="true" outlineLevel="0" collapsed="false">
      <c r="A442" s="159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 customFormat="false" ht="18" hidden="false" customHeight="true" outlineLevel="0" collapsed="false">
      <c r="A443" s="161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 customFormat="false" ht="18" hidden="false" customHeight="true" outlineLevel="0" collapsed="false">
      <c r="A444" s="159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 customFormat="false" ht="18" hidden="false" customHeight="true" outlineLevel="0" collapsed="false">
      <c r="A445" s="161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 customFormat="false" ht="18" hidden="false" customHeight="true" outlineLevel="0" collapsed="false">
      <c r="A446" s="159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 customFormat="false" ht="18" hidden="false" customHeight="true" outlineLevel="0" collapsed="false">
      <c r="A447" s="161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 customFormat="false" ht="18" hidden="false" customHeight="true" outlineLevel="0" collapsed="false">
      <c r="A448" s="159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 customFormat="false" ht="18" hidden="false" customHeight="true" outlineLevel="0" collapsed="false">
      <c r="A449" s="161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 customFormat="false" ht="18" hidden="false" customHeight="true" outlineLevel="0" collapsed="false">
      <c r="A450" s="159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 customFormat="false" ht="18" hidden="false" customHeight="true" outlineLevel="0" collapsed="false">
      <c r="A451" s="161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 customFormat="false" ht="18" hidden="false" customHeight="true" outlineLevel="0" collapsed="false">
      <c r="A452" s="159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 customFormat="false" ht="18" hidden="false" customHeight="true" outlineLevel="0" collapsed="false">
      <c r="A453" s="161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 customFormat="false" ht="18" hidden="false" customHeight="true" outlineLevel="0" collapsed="false">
      <c r="A454" s="159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 customFormat="false" ht="18" hidden="false" customHeight="true" outlineLevel="0" collapsed="false">
      <c r="A455" s="161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 customFormat="false" ht="18" hidden="false" customHeight="true" outlineLevel="0" collapsed="false">
      <c r="A456" s="159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 customFormat="false" ht="18" hidden="false" customHeight="true" outlineLevel="0" collapsed="false">
      <c r="A457" s="161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 customFormat="false" ht="18" hidden="false" customHeight="true" outlineLevel="0" collapsed="false">
      <c r="A458" s="159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 customFormat="false" ht="18" hidden="false" customHeight="true" outlineLevel="0" collapsed="false">
      <c r="A459" s="161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 customFormat="false" ht="18" hidden="false" customHeight="true" outlineLevel="0" collapsed="false">
      <c r="A460" s="159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 customFormat="false" ht="18" hidden="false" customHeight="true" outlineLevel="0" collapsed="false">
      <c r="A461" s="161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 customFormat="false" ht="18" hidden="false" customHeight="true" outlineLevel="0" collapsed="false">
      <c r="A462" s="159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 customFormat="false" ht="18" hidden="false" customHeight="true" outlineLevel="0" collapsed="false">
      <c r="A463" s="161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 customFormat="false" ht="18" hidden="false" customHeight="true" outlineLevel="0" collapsed="false">
      <c r="A464" s="159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 customFormat="false" ht="18" hidden="false" customHeight="true" outlineLevel="0" collapsed="false">
      <c r="A465" s="161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 customFormat="false" ht="18" hidden="false" customHeight="true" outlineLevel="0" collapsed="false">
      <c r="A466" s="159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 customFormat="false" ht="18" hidden="false" customHeight="true" outlineLevel="0" collapsed="false">
      <c r="A467" s="161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 customFormat="false" ht="18" hidden="false" customHeight="true" outlineLevel="0" collapsed="false">
      <c r="A468" s="159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 customFormat="false" ht="18" hidden="false" customHeight="true" outlineLevel="0" collapsed="false">
      <c r="A469" s="161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 customFormat="false" ht="18" hidden="false" customHeight="true" outlineLevel="0" collapsed="false">
      <c r="A470" s="159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 customFormat="false" ht="18" hidden="false" customHeight="true" outlineLevel="0" collapsed="false">
      <c r="A471" s="161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 customFormat="false" ht="18" hidden="false" customHeight="true" outlineLevel="0" collapsed="false">
      <c r="A472" s="159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 customFormat="false" ht="18" hidden="false" customHeight="true" outlineLevel="0" collapsed="false">
      <c r="A473" s="161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 customFormat="false" ht="18" hidden="false" customHeight="true" outlineLevel="0" collapsed="false">
      <c r="A474" s="159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 customFormat="false" ht="18" hidden="false" customHeight="true" outlineLevel="0" collapsed="false">
      <c r="A475" s="161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 customFormat="false" ht="18" hidden="false" customHeight="true" outlineLevel="0" collapsed="false">
      <c r="A476" s="159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 customFormat="false" ht="18" hidden="false" customHeight="true" outlineLevel="0" collapsed="false">
      <c r="A477" s="161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 customFormat="false" ht="18" hidden="false" customHeight="true" outlineLevel="0" collapsed="false">
      <c r="A478" s="159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 customFormat="false" ht="18" hidden="false" customHeight="true" outlineLevel="0" collapsed="false">
      <c r="A479" s="161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 customFormat="false" ht="18" hidden="false" customHeight="true" outlineLevel="0" collapsed="false">
      <c r="A480" s="159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 customFormat="false" ht="18" hidden="false" customHeight="true" outlineLevel="0" collapsed="false">
      <c r="A481" s="161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 customFormat="false" ht="18" hidden="false" customHeight="true" outlineLevel="0" collapsed="false">
      <c r="A482" s="159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 customFormat="false" ht="18" hidden="false" customHeight="true" outlineLevel="0" collapsed="false">
      <c r="A483" s="161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 customFormat="false" ht="18" hidden="false" customHeight="true" outlineLevel="0" collapsed="false">
      <c r="A484" s="159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 customFormat="false" ht="18" hidden="false" customHeight="true" outlineLevel="0" collapsed="false">
      <c r="A485" s="161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 customFormat="false" ht="18" hidden="false" customHeight="true" outlineLevel="0" collapsed="false">
      <c r="A486" s="159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 customFormat="false" ht="18" hidden="false" customHeight="true" outlineLevel="0" collapsed="false">
      <c r="A487" s="161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 customFormat="false" ht="18" hidden="false" customHeight="true" outlineLevel="0" collapsed="false">
      <c r="A488" s="159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 customFormat="false" ht="18" hidden="false" customHeight="true" outlineLevel="0" collapsed="false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 customFormat="false" ht="18" hidden="false" customHeight="true" outlineLevel="0" collapsed="false">
      <c r="A490" s="159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 customFormat="false" ht="18" hidden="false" customHeight="true" outlineLevel="0" collapsed="false">
      <c r="A491" s="161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 customFormat="false" ht="18" hidden="false" customHeight="true" outlineLevel="0" collapsed="false">
      <c r="A492" s="159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 customFormat="false" ht="18" hidden="false" customHeight="true" outlineLevel="0" collapsed="false">
      <c r="A493" s="161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 customFormat="false" ht="18" hidden="false" customHeight="true" outlineLevel="0" collapsed="false">
      <c r="A494" s="159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 customFormat="false" ht="18" hidden="false" customHeight="true" outlineLevel="0" collapsed="false">
      <c r="A495" s="161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 customFormat="false" ht="18" hidden="false" customHeight="true" outlineLevel="0" collapsed="false">
      <c r="A496" s="159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 customFormat="false" ht="18" hidden="false" customHeight="true" outlineLevel="0" collapsed="false">
      <c r="A497" s="161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 customFormat="false" ht="18" hidden="false" customHeight="true" outlineLevel="0" collapsed="false">
      <c r="A498" s="159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 customFormat="false" ht="18" hidden="false" customHeight="true" outlineLevel="0" collapsed="false">
      <c r="A499" s="161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 customFormat="false" ht="18" hidden="false" customHeight="true" outlineLevel="0" collapsed="false">
      <c r="A500" s="159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 customFormat="false" ht="18" hidden="false" customHeight="true" outlineLevel="0" collapsed="false">
      <c r="A501" s="161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 customFormat="false" ht="18" hidden="false" customHeight="true" outlineLevel="0" collapsed="false">
      <c r="A502" s="159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 customFormat="false" ht="18" hidden="false" customHeight="true" outlineLevel="0" collapsed="false">
      <c r="A503" s="161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 customFormat="false" ht="18" hidden="false" customHeight="true" outlineLevel="0" collapsed="false">
      <c r="A504" s="159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 customFormat="false" ht="18" hidden="false" customHeight="true" outlineLevel="0" collapsed="false">
      <c r="A505" s="161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 customFormat="false" ht="18" hidden="false" customHeight="true" outlineLevel="0" collapsed="false">
      <c r="A506" s="159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 customFormat="false" ht="18" hidden="false" customHeight="true" outlineLevel="0" collapsed="false">
      <c r="A507" s="161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 customFormat="false" ht="18" hidden="false" customHeight="true" outlineLevel="0" collapsed="false">
      <c r="A508" s="159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 customFormat="false" ht="18" hidden="false" customHeight="true" outlineLevel="0" collapsed="false">
      <c r="A509" s="161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 customFormat="false" ht="18" hidden="false" customHeight="true" outlineLevel="0" collapsed="false">
      <c r="A510" s="159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 customFormat="false" ht="18" hidden="false" customHeight="true" outlineLevel="0" collapsed="false">
      <c r="A511" s="161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 customFormat="false" ht="18" hidden="false" customHeight="true" outlineLevel="0" collapsed="false">
      <c r="A512" s="159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 customFormat="false" ht="18" hidden="false" customHeight="true" outlineLevel="0" collapsed="false">
      <c r="A513" s="161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 customFormat="false" ht="18" hidden="false" customHeight="true" outlineLevel="0" collapsed="false">
      <c r="A514" s="159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 customFormat="false" ht="18" hidden="false" customHeight="true" outlineLevel="0" collapsed="false">
      <c r="A515" s="161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 customFormat="false" ht="18" hidden="false" customHeight="true" outlineLevel="0" collapsed="false">
      <c r="A516" s="159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 customFormat="false" ht="18" hidden="false" customHeight="true" outlineLevel="0" collapsed="false">
      <c r="A517" s="161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 customFormat="false" ht="18" hidden="false" customHeight="true" outlineLevel="0" collapsed="false">
      <c r="A518" s="159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 customFormat="false" ht="18" hidden="false" customHeight="true" outlineLevel="0" collapsed="false">
      <c r="A519" s="161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 customFormat="false" ht="18" hidden="false" customHeight="true" outlineLevel="0" collapsed="false">
      <c r="A520" s="159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 customFormat="false" ht="18" hidden="false" customHeight="true" outlineLevel="0" collapsed="false">
      <c r="A521" s="161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 customFormat="false" ht="18" hidden="false" customHeight="true" outlineLevel="0" collapsed="false">
      <c r="A522" s="159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 customFormat="false" ht="18" hidden="false" customHeight="true" outlineLevel="0" collapsed="false">
      <c r="A523" s="161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 customFormat="false" ht="18" hidden="false" customHeight="true" outlineLevel="0" collapsed="false">
      <c r="A524" s="159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 customFormat="false" ht="18" hidden="false" customHeight="true" outlineLevel="0" collapsed="false">
      <c r="A525" s="161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 customFormat="false" ht="18" hidden="false" customHeight="true" outlineLevel="0" collapsed="false">
      <c r="A526" s="159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 customFormat="false" ht="18" hidden="false" customHeight="true" outlineLevel="0" collapsed="false">
      <c r="A527" s="161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 customFormat="false" ht="18" hidden="false" customHeight="true" outlineLevel="0" collapsed="false">
      <c r="A528" s="159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 customFormat="false" ht="18" hidden="false" customHeight="true" outlineLevel="0" collapsed="false">
      <c r="A529" s="161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 customFormat="false" ht="18" hidden="false" customHeight="true" outlineLevel="0" collapsed="false">
      <c r="A530" s="159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 customFormat="false" ht="18" hidden="false" customHeight="true" outlineLevel="0" collapsed="false">
      <c r="A531" s="161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 customFormat="false" ht="18" hidden="false" customHeight="true" outlineLevel="0" collapsed="false">
      <c r="A532" s="159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 customFormat="false" ht="18" hidden="false" customHeight="true" outlineLevel="0" collapsed="false">
      <c r="A533" s="161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 customFormat="false" ht="18" hidden="false" customHeight="true" outlineLevel="0" collapsed="false">
      <c r="A534" s="159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 customFormat="false" ht="18" hidden="false" customHeight="true" outlineLevel="0" collapsed="false">
      <c r="A535" s="161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 customFormat="false" ht="18" hidden="false" customHeight="true" outlineLevel="0" collapsed="false">
      <c r="A536" s="159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 customFormat="false" ht="18" hidden="false" customHeight="true" outlineLevel="0" collapsed="false">
      <c r="A537" s="161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 customFormat="false" ht="18" hidden="false" customHeight="true" outlineLevel="0" collapsed="false">
      <c r="A538" s="159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 customFormat="false" ht="18" hidden="false" customHeight="true" outlineLevel="0" collapsed="false">
      <c r="A539" s="161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 customFormat="false" ht="18" hidden="false" customHeight="true" outlineLevel="0" collapsed="false">
      <c r="A540" s="159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 customFormat="false" ht="18" hidden="false" customHeight="true" outlineLevel="0" collapsed="false">
      <c r="A541" s="161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 customFormat="false" ht="18" hidden="false" customHeight="true" outlineLevel="0" collapsed="false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 customFormat="false" ht="18" hidden="false" customHeight="true" outlineLevel="0" collapsed="false">
      <c r="A543" s="161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 customFormat="false" ht="18" hidden="false" customHeight="true" outlineLevel="0" collapsed="false">
      <c r="A544" s="159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 customFormat="false" ht="18" hidden="false" customHeight="true" outlineLevel="0" collapsed="false">
      <c r="A545" s="161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 customFormat="false" ht="18" hidden="false" customHeight="true" outlineLevel="0" collapsed="false">
      <c r="A546" s="159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 customFormat="false" ht="18" hidden="false" customHeight="true" outlineLevel="0" collapsed="false">
      <c r="A547" s="161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 customFormat="false" ht="18" hidden="false" customHeight="true" outlineLevel="0" collapsed="false">
      <c r="A548" s="159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 customFormat="false" ht="18" hidden="false" customHeight="true" outlineLevel="0" collapsed="false">
      <c r="A549" s="161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 customFormat="false" ht="18" hidden="false" customHeight="true" outlineLevel="0" collapsed="false">
      <c r="A550" s="159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 customFormat="false" ht="18" hidden="false" customHeight="true" outlineLevel="0" collapsed="false">
      <c r="A551" s="161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 customFormat="false" ht="18" hidden="false" customHeight="true" outlineLevel="0" collapsed="false">
      <c r="A552" s="159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 customFormat="false" ht="18" hidden="false" customHeight="true" outlineLevel="0" collapsed="false">
      <c r="A553" s="161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 customFormat="false" ht="18" hidden="false" customHeight="true" outlineLevel="0" collapsed="false">
      <c r="A554" s="159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 customFormat="false" ht="18" hidden="false" customHeight="true" outlineLevel="0" collapsed="false">
      <c r="A555" s="161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 customFormat="false" ht="18" hidden="false" customHeight="true" outlineLevel="0" collapsed="false">
      <c r="A556" s="159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 customFormat="false" ht="18" hidden="false" customHeight="true" outlineLevel="0" collapsed="false">
      <c r="A557" s="161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 customFormat="false" ht="18" hidden="false" customHeight="true" outlineLevel="0" collapsed="false">
      <c r="A558" s="159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 customFormat="false" ht="18" hidden="false" customHeight="true" outlineLevel="0" collapsed="false">
      <c r="A559" s="161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 customFormat="false" ht="18" hidden="false" customHeight="true" outlineLevel="0" collapsed="false">
      <c r="A560" s="159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 customFormat="false" ht="18" hidden="false" customHeight="true" outlineLevel="0" collapsed="false">
      <c r="A561" s="161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 customFormat="false" ht="18" hidden="false" customHeight="true" outlineLevel="0" collapsed="false">
      <c r="A562" s="159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 customFormat="false" ht="18" hidden="false" customHeight="true" outlineLevel="0" collapsed="false">
      <c r="A563" s="161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 customFormat="false" ht="18" hidden="false" customHeight="true" outlineLevel="0" collapsed="false">
      <c r="A564" s="159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 customFormat="false" ht="18" hidden="false" customHeight="true" outlineLevel="0" collapsed="false">
      <c r="A565" s="161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 customFormat="false" ht="18" hidden="false" customHeight="true" outlineLevel="0" collapsed="false">
      <c r="A566" s="159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 customFormat="false" ht="18" hidden="false" customHeight="true" outlineLevel="0" collapsed="false">
      <c r="A567" s="161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 customFormat="false" ht="18" hidden="false" customHeight="true" outlineLevel="0" collapsed="false">
      <c r="A568" s="159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 customFormat="false" ht="18" hidden="false" customHeight="true" outlineLevel="0" collapsed="false">
      <c r="A569" s="161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 customFormat="false" ht="18" hidden="false" customHeight="true" outlineLevel="0" collapsed="false">
      <c r="A570" s="159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 customFormat="false" ht="18" hidden="false" customHeight="true" outlineLevel="0" collapsed="false">
      <c r="A571" s="161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 customFormat="false" ht="18" hidden="false" customHeight="true" outlineLevel="0" collapsed="false">
      <c r="A572" s="159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 customFormat="false" ht="18" hidden="false" customHeight="true" outlineLevel="0" collapsed="false">
      <c r="A573" s="161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 customFormat="false" ht="18" hidden="false" customHeight="true" outlineLevel="0" collapsed="false">
      <c r="A574" s="159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 customFormat="false" ht="18" hidden="false" customHeight="true" outlineLevel="0" collapsed="false">
      <c r="A575" s="161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 customFormat="false" ht="18" hidden="false" customHeight="true" outlineLevel="0" collapsed="false">
      <c r="A576" s="159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 customFormat="false" ht="18" hidden="false" customHeight="true" outlineLevel="0" collapsed="false">
      <c r="A577" s="161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 customFormat="false" ht="18" hidden="false" customHeight="true" outlineLevel="0" collapsed="false">
      <c r="A578" s="159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 customFormat="false" ht="18" hidden="false" customHeight="true" outlineLevel="0" collapsed="false">
      <c r="A579" s="161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 customFormat="false" ht="18" hidden="false" customHeight="true" outlineLevel="0" collapsed="false">
      <c r="A580" s="159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 customFormat="false" ht="18" hidden="false" customHeight="true" outlineLevel="0" collapsed="false">
      <c r="A581" s="161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 customFormat="false" ht="18" hidden="false" customHeight="true" outlineLevel="0" collapsed="false">
      <c r="A582" s="159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 customFormat="false" ht="18" hidden="false" customHeight="true" outlineLevel="0" collapsed="false">
      <c r="A583" s="161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 customFormat="false" ht="18" hidden="false" customHeight="true" outlineLevel="0" collapsed="false">
      <c r="A584" s="159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 customFormat="false" ht="18" hidden="false" customHeight="true" outlineLevel="0" collapsed="false">
      <c r="A585" s="161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 customFormat="false" ht="18" hidden="false" customHeight="true" outlineLevel="0" collapsed="false">
      <c r="A586" s="159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 customFormat="false" ht="18" hidden="false" customHeight="true" outlineLevel="0" collapsed="false">
      <c r="A587" s="161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 customFormat="false" ht="18" hidden="false" customHeight="true" outlineLevel="0" collapsed="false">
      <c r="A588" s="159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 customFormat="false" ht="18" hidden="false" customHeight="true" outlineLevel="0" collapsed="false">
      <c r="A589" s="161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 customFormat="false" ht="18" hidden="false" customHeight="true" outlineLevel="0" collapsed="false">
      <c r="A590" s="159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 customFormat="false" ht="18" hidden="false" customHeight="true" outlineLevel="0" collapsed="false">
      <c r="A591" s="161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 customFormat="false" ht="18" hidden="false" customHeight="true" outlineLevel="0" collapsed="false">
      <c r="A592" s="159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 customFormat="false" ht="18" hidden="false" customHeight="true" outlineLevel="0" collapsed="false">
      <c r="A593" s="161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 customFormat="false" ht="18" hidden="false" customHeight="true" outlineLevel="0" collapsed="false">
      <c r="A594" s="159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 customFormat="false" ht="18" hidden="false" customHeight="true" outlineLevel="0" collapsed="false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 customFormat="false" ht="18" hidden="false" customHeight="true" outlineLevel="0" collapsed="false">
      <c r="A596" s="159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 customFormat="false" ht="18" hidden="false" customHeight="true" outlineLevel="0" collapsed="false">
      <c r="A597" s="161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 customFormat="false" ht="18" hidden="false" customHeight="true" outlineLevel="0" collapsed="false">
      <c r="A598" s="159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 customFormat="false" ht="18" hidden="false" customHeight="true" outlineLevel="0" collapsed="false">
      <c r="A599" s="161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 customFormat="false" ht="18" hidden="false" customHeight="true" outlineLevel="0" collapsed="false">
      <c r="A600" s="159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 customFormat="false" ht="18" hidden="false" customHeight="true" outlineLevel="0" collapsed="false">
      <c r="A601" s="161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 customFormat="false" ht="18" hidden="false" customHeight="true" outlineLevel="0" collapsed="false">
      <c r="A602" s="159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 customFormat="false" ht="18" hidden="false" customHeight="true" outlineLevel="0" collapsed="false">
      <c r="A603" s="161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 customFormat="false" ht="18" hidden="false" customHeight="true" outlineLevel="0" collapsed="false">
      <c r="A604" s="159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 customFormat="false" ht="18" hidden="false" customHeight="true" outlineLevel="0" collapsed="false">
      <c r="A605" s="161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 customFormat="false" ht="18" hidden="false" customHeight="true" outlineLevel="0" collapsed="false">
      <c r="A606" s="159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 customFormat="false" ht="18" hidden="false" customHeight="true" outlineLevel="0" collapsed="false">
      <c r="A607" s="161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 customFormat="false" ht="18" hidden="false" customHeight="true" outlineLevel="0" collapsed="false">
      <c r="A608" s="159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 customFormat="false" ht="18" hidden="false" customHeight="true" outlineLevel="0" collapsed="false">
      <c r="A609" s="161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 customFormat="false" ht="18" hidden="false" customHeight="true" outlineLevel="0" collapsed="false">
      <c r="A610" s="159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 customFormat="false" ht="18" hidden="false" customHeight="true" outlineLevel="0" collapsed="false">
      <c r="A611" s="161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 customFormat="false" ht="18" hidden="false" customHeight="true" outlineLevel="0" collapsed="false">
      <c r="A612" s="159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 customFormat="false" ht="18" hidden="false" customHeight="true" outlineLevel="0" collapsed="false">
      <c r="A613" s="161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 customFormat="false" ht="18" hidden="false" customHeight="true" outlineLevel="0" collapsed="false">
      <c r="A614" s="159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 customFormat="false" ht="18" hidden="false" customHeight="true" outlineLevel="0" collapsed="false">
      <c r="A615" s="161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 customFormat="false" ht="18" hidden="false" customHeight="true" outlineLevel="0" collapsed="false">
      <c r="A616" s="159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 customFormat="false" ht="18" hidden="false" customHeight="true" outlineLevel="0" collapsed="false">
      <c r="A617" s="161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 customFormat="false" ht="18" hidden="false" customHeight="true" outlineLevel="0" collapsed="false">
      <c r="A618" s="159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 customFormat="false" ht="18" hidden="false" customHeight="true" outlineLevel="0" collapsed="false">
      <c r="A619" s="161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 customFormat="false" ht="18" hidden="false" customHeight="true" outlineLevel="0" collapsed="false">
      <c r="A620" s="159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 customFormat="false" ht="18" hidden="false" customHeight="true" outlineLevel="0" collapsed="false">
      <c r="A621" s="161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 customFormat="false" ht="18" hidden="false" customHeight="true" outlineLevel="0" collapsed="false">
      <c r="A622" s="159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 customFormat="false" ht="18" hidden="false" customHeight="true" outlineLevel="0" collapsed="false">
      <c r="A623" s="161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 customFormat="false" ht="18" hidden="false" customHeight="true" outlineLevel="0" collapsed="false">
      <c r="A624" s="159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 customFormat="false" ht="18" hidden="false" customHeight="true" outlineLevel="0" collapsed="false">
      <c r="A625" s="161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 customFormat="false" ht="18" hidden="false" customHeight="true" outlineLevel="0" collapsed="false">
      <c r="A626" s="159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 customFormat="false" ht="18" hidden="false" customHeight="true" outlineLevel="0" collapsed="false">
      <c r="A627" s="161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 customFormat="false" ht="18" hidden="false" customHeight="true" outlineLevel="0" collapsed="false">
      <c r="A628" s="159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 customFormat="false" ht="18" hidden="false" customHeight="true" outlineLevel="0" collapsed="false">
      <c r="A629" s="161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 customFormat="false" ht="18" hidden="false" customHeight="true" outlineLevel="0" collapsed="false">
      <c r="A630" s="159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 customFormat="false" ht="18" hidden="false" customHeight="true" outlineLevel="0" collapsed="false">
      <c r="A631" s="161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 customFormat="false" ht="18" hidden="false" customHeight="true" outlineLevel="0" collapsed="false">
      <c r="A632" s="159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 customFormat="false" ht="18" hidden="false" customHeight="true" outlineLevel="0" collapsed="false">
      <c r="A633" s="161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 customFormat="false" ht="18" hidden="false" customHeight="true" outlineLevel="0" collapsed="false">
      <c r="A634" s="159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 customFormat="false" ht="18" hidden="false" customHeight="true" outlineLevel="0" collapsed="false">
      <c r="A635" s="161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 customFormat="false" ht="18" hidden="false" customHeight="true" outlineLevel="0" collapsed="false">
      <c r="A636" s="159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 customFormat="false" ht="18" hidden="false" customHeight="true" outlineLevel="0" collapsed="false">
      <c r="A637" s="161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 customFormat="false" ht="18" hidden="false" customHeight="true" outlineLevel="0" collapsed="false">
      <c r="A638" s="159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 customFormat="false" ht="18" hidden="false" customHeight="true" outlineLevel="0" collapsed="false">
      <c r="A639" s="161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 customFormat="false" ht="18" hidden="false" customHeight="true" outlineLevel="0" collapsed="false">
      <c r="A640" s="159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 customFormat="false" ht="18" hidden="false" customHeight="true" outlineLevel="0" collapsed="false">
      <c r="A641" s="161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 customFormat="false" ht="18" hidden="false" customHeight="true" outlineLevel="0" collapsed="false">
      <c r="A642" s="159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 customFormat="false" ht="18" hidden="false" customHeight="true" outlineLevel="0" collapsed="false">
      <c r="A643" s="161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 customFormat="false" ht="18" hidden="false" customHeight="true" outlineLevel="0" collapsed="false">
      <c r="A644" s="159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 customFormat="false" ht="18" hidden="false" customHeight="true" outlineLevel="0" collapsed="false">
      <c r="A645" s="161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 customFormat="false" ht="18" hidden="false" customHeight="true" outlineLevel="0" collapsed="false">
      <c r="A646" s="159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 customFormat="false" ht="18" hidden="false" customHeight="true" outlineLevel="0" collapsed="false">
      <c r="A647" s="161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 customFormat="false" ht="18" hidden="false" customHeight="true" outlineLevel="0" collapsed="false">
      <c r="A648" s="159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 customFormat="false" ht="18" hidden="false" customHeight="true" outlineLevel="0" collapsed="false">
      <c r="A649" s="161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 customFormat="false" ht="18" hidden="false" customHeight="true" outlineLevel="0" collapsed="false">
      <c r="A650" s="159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 customFormat="false" ht="18" hidden="false" customHeight="true" outlineLevel="0" collapsed="false">
      <c r="A651" s="161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 customFormat="false" ht="18" hidden="false" customHeight="true" outlineLevel="0" collapsed="false">
      <c r="A652" s="159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 customFormat="false" ht="18" hidden="false" customHeight="true" outlineLevel="0" collapsed="false">
      <c r="A653" s="161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 customFormat="false" ht="18" hidden="false" customHeight="true" outlineLevel="0" collapsed="false">
      <c r="A654" s="159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 customFormat="false" ht="18" hidden="false" customHeight="true" outlineLevel="0" collapsed="false">
      <c r="A655" s="161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 customFormat="false" ht="18" hidden="false" customHeight="true" outlineLevel="0" collapsed="false">
      <c r="A656" s="159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 customFormat="false" ht="18" hidden="false" customHeight="true" outlineLevel="0" collapsed="false">
      <c r="A657" s="161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 customFormat="false" ht="18" hidden="false" customHeight="true" outlineLevel="0" collapsed="false">
      <c r="A658" s="159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 customFormat="false" ht="18" hidden="false" customHeight="true" outlineLevel="0" collapsed="false">
      <c r="A659" s="161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 customFormat="false" ht="18" hidden="false" customHeight="true" outlineLevel="0" collapsed="false">
      <c r="A660" s="159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 customFormat="false" ht="18" hidden="false" customHeight="true" outlineLevel="0" collapsed="false">
      <c r="A661" s="161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 customFormat="false" ht="18" hidden="false" customHeight="true" outlineLevel="0" collapsed="false">
      <c r="A662" s="159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 customFormat="false" ht="18" hidden="false" customHeight="true" outlineLevel="0" collapsed="false">
      <c r="A663" s="161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 customFormat="false" ht="18" hidden="false" customHeight="true" outlineLevel="0" collapsed="false">
      <c r="A664" s="159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 customFormat="false" ht="18" hidden="false" customHeight="true" outlineLevel="0" collapsed="false">
      <c r="A665" s="161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 customFormat="false" ht="18" hidden="false" customHeight="true" outlineLevel="0" collapsed="false">
      <c r="A666" s="159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 customFormat="false" ht="18" hidden="false" customHeight="true" outlineLevel="0" collapsed="false">
      <c r="A667" s="161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 customFormat="false" ht="18" hidden="false" customHeight="true" outlineLevel="0" collapsed="false">
      <c r="A668" s="159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 customFormat="false" ht="18" hidden="false" customHeight="true" outlineLevel="0" collapsed="false">
      <c r="A669" s="161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 customFormat="false" ht="18" hidden="false" customHeight="true" outlineLevel="0" collapsed="false">
      <c r="A670" s="159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 customFormat="false" ht="18" hidden="false" customHeight="true" outlineLevel="0" collapsed="false">
      <c r="A671" s="161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 customFormat="false" ht="18" hidden="false" customHeight="true" outlineLevel="0" collapsed="false">
      <c r="A672" s="159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 customFormat="false" ht="18" hidden="false" customHeight="true" outlineLevel="0" collapsed="false">
      <c r="A673" s="161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 customFormat="false" ht="18" hidden="false" customHeight="true" outlineLevel="0" collapsed="false">
      <c r="A674" s="159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 customFormat="false" ht="18" hidden="false" customHeight="true" outlineLevel="0" collapsed="false">
      <c r="A675" s="161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 customFormat="false" ht="18" hidden="false" customHeight="true" outlineLevel="0" collapsed="false">
      <c r="A676" s="159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 customFormat="false" ht="18" hidden="false" customHeight="true" outlineLevel="0" collapsed="false">
      <c r="A677" s="161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 customFormat="false" ht="18" hidden="false" customHeight="true" outlineLevel="0" collapsed="false">
      <c r="A678" s="159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 customFormat="false" ht="18" hidden="false" customHeight="true" outlineLevel="0" collapsed="false">
      <c r="A679" s="161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 customFormat="false" ht="18" hidden="false" customHeight="true" outlineLevel="0" collapsed="false">
      <c r="A680" s="159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 customFormat="false" ht="18" hidden="false" customHeight="true" outlineLevel="0" collapsed="false">
      <c r="A681" s="161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 customFormat="false" ht="18" hidden="false" customHeight="true" outlineLevel="0" collapsed="false">
      <c r="A682" s="159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 customFormat="false" ht="18" hidden="false" customHeight="true" outlineLevel="0" collapsed="false">
      <c r="A683" s="161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 customFormat="false" ht="18" hidden="false" customHeight="true" outlineLevel="0" collapsed="false">
      <c r="A684" s="159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 customFormat="false" ht="18" hidden="false" customHeight="true" outlineLevel="0" collapsed="false">
      <c r="A685" s="161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 customFormat="false" ht="18" hidden="false" customHeight="true" outlineLevel="0" collapsed="false">
      <c r="A686" s="159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 customFormat="false" ht="18" hidden="false" customHeight="true" outlineLevel="0" collapsed="false">
      <c r="A687" s="161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 customFormat="false" ht="18" hidden="false" customHeight="true" outlineLevel="0" collapsed="false">
      <c r="A688" s="159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 customFormat="false" ht="18" hidden="false" customHeight="true" outlineLevel="0" collapsed="false">
      <c r="A689" s="161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 customFormat="false" ht="18" hidden="false" customHeight="true" outlineLevel="0" collapsed="false">
      <c r="A690" s="159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 customFormat="false" ht="18" hidden="false" customHeight="true" outlineLevel="0" collapsed="false">
      <c r="A691" s="161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 customFormat="false" ht="18" hidden="false" customHeight="true" outlineLevel="0" collapsed="false">
      <c r="A692" s="159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 customFormat="false" ht="18" hidden="false" customHeight="true" outlineLevel="0" collapsed="false">
      <c r="A693" s="161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 customFormat="false" ht="18" hidden="false" customHeight="true" outlineLevel="0" collapsed="false">
      <c r="A694" s="159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 customFormat="false" ht="18" hidden="false" customHeight="true" outlineLevel="0" collapsed="false">
      <c r="A695" s="161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 customFormat="false" ht="18" hidden="false" customHeight="true" outlineLevel="0" collapsed="false">
      <c r="A696" s="159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 customFormat="false" ht="18" hidden="false" customHeight="true" outlineLevel="0" collapsed="false">
      <c r="A697" s="161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 customFormat="false" ht="18" hidden="false" customHeight="true" outlineLevel="0" collapsed="false">
      <c r="A698" s="159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 customFormat="false" ht="18" hidden="false" customHeight="true" outlineLevel="0" collapsed="false">
      <c r="A699" s="161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 customFormat="false" ht="18" hidden="false" customHeight="true" outlineLevel="0" collapsed="false">
      <c r="A700" s="159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 customFormat="false" ht="18" hidden="false" customHeight="true" outlineLevel="0" collapsed="false">
      <c r="A701" s="161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 customFormat="false" ht="18" hidden="false" customHeight="true" outlineLevel="0" collapsed="false">
      <c r="A702" s="159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 customFormat="false" ht="18" hidden="false" customHeight="true" outlineLevel="0" collapsed="false">
      <c r="A703" s="161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 customFormat="false" ht="18" hidden="false" customHeight="true" outlineLevel="0" collapsed="false">
      <c r="A704" s="159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 customFormat="false" ht="18" hidden="false" customHeight="true" outlineLevel="0" collapsed="false">
      <c r="A705" s="161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 customFormat="false" ht="18" hidden="false" customHeight="true" outlineLevel="0" collapsed="false">
      <c r="A706" s="159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 customFormat="false" ht="18" hidden="false" customHeight="true" outlineLevel="0" collapsed="false">
      <c r="A707" s="161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 customFormat="false" ht="18" hidden="false" customHeight="true" outlineLevel="0" collapsed="false">
      <c r="A708" s="159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 customFormat="false" ht="18" hidden="false" customHeight="true" outlineLevel="0" collapsed="false">
      <c r="A709" s="161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 customFormat="false" ht="18" hidden="false" customHeight="true" outlineLevel="0" collapsed="false">
      <c r="A710" s="159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 customFormat="false" ht="18" hidden="false" customHeight="true" outlineLevel="0" collapsed="false">
      <c r="A711" s="161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 customFormat="false" ht="18" hidden="false" customHeight="true" outlineLevel="0" collapsed="false">
      <c r="A712" s="159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 customFormat="false" ht="18" hidden="false" customHeight="true" outlineLevel="0" collapsed="false">
      <c r="A713" s="161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 customFormat="false" ht="18" hidden="false" customHeight="true" outlineLevel="0" collapsed="false">
      <c r="A714" s="159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 customFormat="false" ht="18" hidden="false" customHeight="true" outlineLevel="0" collapsed="false">
      <c r="A715" s="161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 customFormat="false" ht="18" hidden="false" customHeight="true" outlineLevel="0" collapsed="false">
      <c r="A716" s="159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 customFormat="false" ht="18" hidden="false" customHeight="true" outlineLevel="0" collapsed="false">
      <c r="A717" s="161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 customFormat="false" ht="18" hidden="false" customHeight="true" outlineLevel="0" collapsed="false">
      <c r="A718" s="159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 customFormat="false" ht="18" hidden="false" customHeight="true" outlineLevel="0" collapsed="false">
      <c r="A719" s="161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 customFormat="false" ht="18" hidden="false" customHeight="true" outlineLevel="0" collapsed="false">
      <c r="A720" s="159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 customFormat="false" ht="18" hidden="false" customHeight="true" outlineLevel="0" collapsed="false">
      <c r="A721" s="161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 customFormat="false" ht="18" hidden="false" customHeight="true" outlineLevel="0" collapsed="false">
      <c r="A722" s="159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 customFormat="false" ht="18" hidden="false" customHeight="true" outlineLevel="0" collapsed="false">
      <c r="A723" s="161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 customFormat="false" ht="18" hidden="false" customHeight="true" outlineLevel="0" collapsed="false">
      <c r="A724" s="159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 customFormat="false" ht="18" hidden="false" customHeight="true" outlineLevel="0" collapsed="false">
      <c r="A725" s="161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 customFormat="false" ht="18" hidden="false" customHeight="true" outlineLevel="0" collapsed="false">
      <c r="A726" s="159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 customFormat="false" ht="18" hidden="false" customHeight="true" outlineLevel="0" collapsed="false">
      <c r="A727" s="161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 customFormat="false" ht="18" hidden="false" customHeight="true" outlineLevel="0" collapsed="false">
      <c r="A728" s="159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 customFormat="false" ht="18" hidden="false" customHeight="true" outlineLevel="0" collapsed="false">
      <c r="A729" s="161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 customFormat="false" ht="18" hidden="false" customHeight="true" outlineLevel="0" collapsed="false">
      <c r="A730" s="159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 customFormat="false" ht="18" hidden="false" customHeight="true" outlineLevel="0" collapsed="false">
      <c r="A731" s="161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 customFormat="false" ht="18" hidden="false" customHeight="true" outlineLevel="0" collapsed="false">
      <c r="A732" s="159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 customFormat="false" ht="18" hidden="false" customHeight="true" outlineLevel="0" collapsed="false">
      <c r="A733" s="161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 customFormat="false" ht="18" hidden="false" customHeight="true" outlineLevel="0" collapsed="false">
      <c r="A734" s="159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 customFormat="false" ht="18" hidden="false" customHeight="true" outlineLevel="0" collapsed="false">
      <c r="A735" s="161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 customFormat="false" ht="18" hidden="false" customHeight="true" outlineLevel="0" collapsed="false">
      <c r="A736" s="159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 customFormat="false" ht="18" hidden="false" customHeight="true" outlineLevel="0" collapsed="false">
      <c r="A737" s="161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 customFormat="false" ht="18" hidden="false" customHeight="true" outlineLevel="0" collapsed="false">
      <c r="A738" s="159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 customFormat="false" ht="18" hidden="false" customHeight="true" outlineLevel="0" collapsed="false">
      <c r="A739" s="161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 customFormat="false" ht="18" hidden="false" customHeight="true" outlineLevel="0" collapsed="false">
      <c r="A740" s="159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 customFormat="false" ht="18" hidden="false" customHeight="true" outlineLevel="0" collapsed="false">
      <c r="A741" s="161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 customFormat="false" ht="18" hidden="false" customHeight="true" outlineLevel="0" collapsed="false">
      <c r="A742" s="159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 customFormat="false" ht="18" hidden="false" customHeight="true" outlineLevel="0" collapsed="false">
      <c r="A743" s="161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 customFormat="false" ht="18" hidden="false" customHeight="true" outlineLevel="0" collapsed="false">
      <c r="A744" s="159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 customFormat="false" ht="18" hidden="false" customHeight="true" outlineLevel="0" collapsed="false">
      <c r="A745" s="161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 customFormat="false" ht="18" hidden="false" customHeight="true" outlineLevel="0" collapsed="false">
      <c r="A746" s="159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 customFormat="false" ht="18" hidden="false" customHeight="true" outlineLevel="0" collapsed="false">
      <c r="A747" s="161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 customFormat="false" ht="18" hidden="false" customHeight="true" outlineLevel="0" collapsed="false">
      <c r="A748" s="159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 customFormat="false" ht="18" hidden="false" customHeight="true" outlineLevel="0" collapsed="false">
      <c r="A749" s="161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 customFormat="false" ht="18" hidden="false" customHeight="true" outlineLevel="0" collapsed="false">
      <c r="A750" s="159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 customFormat="false" ht="18" hidden="false" customHeight="true" outlineLevel="0" collapsed="false">
      <c r="A751" s="161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 customFormat="false" ht="18" hidden="false" customHeight="true" outlineLevel="0" collapsed="false">
      <c r="A752" s="159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 customFormat="false" ht="18" hidden="false" customHeight="true" outlineLevel="0" collapsed="false">
      <c r="A753" s="161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 customFormat="false" ht="18" hidden="false" customHeight="true" outlineLevel="0" collapsed="false">
      <c r="A754" s="159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 customFormat="false" ht="18" hidden="false" customHeight="true" outlineLevel="0" collapsed="false">
      <c r="A755" s="161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 customFormat="false" ht="18" hidden="false" customHeight="true" outlineLevel="0" collapsed="false">
      <c r="A756" s="159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 customFormat="false" ht="18" hidden="false" customHeight="true" outlineLevel="0" collapsed="false">
      <c r="A757" s="161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 customFormat="false" ht="18" hidden="false" customHeight="true" outlineLevel="0" collapsed="false">
      <c r="A758" s="159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 customFormat="false" ht="18" hidden="false" customHeight="true" outlineLevel="0" collapsed="false">
      <c r="A759" s="161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 customFormat="false" ht="18" hidden="false" customHeight="true" outlineLevel="0" collapsed="false">
      <c r="A760" s="159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 customFormat="false" ht="18" hidden="false" customHeight="true" outlineLevel="0" collapsed="false">
      <c r="A761" s="161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 customFormat="false" ht="18" hidden="false" customHeight="true" outlineLevel="0" collapsed="false">
      <c r="A762" s="159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 customFormat="false" ht="18" hidden="false" customHeight="true" outlineLevel="0" collapsed="false">
      <c r="A763" s="161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 customFormat="false" ht="18" hidden="false" customHeight="true" outlineLevel="0" collapsed="false">
      <c r="A764" s="159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 customFormat="false" ht="18" hidden="false" customHeight="true" outlineLevel="0" collapsed="false">
      <c r="A765" s="161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 customFormat="false" ht="18" hidden="false" customHeight="true" outlineLevel="0" collapsed="false">
      <c r="A766" s="159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 customFormat="false" ht="18" hidden="false" customHeight="true" outlineLevel="0" collapsed="false">
      <c r="A767" s="161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 customFormat="false" ht="18" hidden="false" customHeight="true" outlineLevel="0" collapsed="false">
      <c r="A768" s="159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 customFormat="false" ht="18" hidden="false" customHeight="true" outlineLevel="0" collapsed="false">
      <c r="A769" s="161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 customFormat="false" ht="18" hidden="false" customHeight="true" outlineLevel="0" collapsed="false">
      <c r="A770" s="159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 customFormat="false" ht="18" hidden="false" customHeight="true" outlineLevel="0" collapsed="false">
      <c r="A771" s="161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 customFormat="false" ht="18" hidden="false" customHeight="true" outlineLevel="0" collapsed="false">
      <c r="A772" s="159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 customFormat="false" ht="18" hidden="false" customHeight="true" outlineLevel="0" collapsed="false">
      <c r="A773" s="161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 customFormat="false" ht="18" hidden="false" customHeight="true" outlineLevel="0" collapsed="false">
      <c r="A774" s="159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 customFormat="false" ht="18" hidden="false" customHeight="true" outlineLevel="0" collapsed="false">
      <c r="A775" s="161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 customFormat="false" ht="18" hidden="false" customHeight="true" outlineLevel="0" collapsed="false">
      <c r="A776" s="159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 customFormat="false" ht="18" hidden="false" customHeight="true" outlineLevel="0" collapsed="false">
      <c r="A777" s="161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 customFormat="false" ht="18" hidden="false" customHeight="true" outlineLevel="0" collapsed="false">
      <c r="A778" s="159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 customFormat="false" ht="18" hidden="false" customHeight="true" outlineLevel="0" collapsed="false">
      <c r="A779" s="161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 customFormat="false" ht="18" hidden="false" customHeight="true" outlineLevel="0" collapsed="false">
      <c r="A780" s="159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 customFormat="false" ht="18" hidden="false" customHeight="true" outlineLevel="0" collapsed="false">
      <c r="A781" s="161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 customFormat="false" ht="18" hidden="false" customHeight="true" outlineLevel="0" collapsed="false">
      <c r="A782" s="159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 customFormat="false" ht="18" hidden="false" customHeight="true" outlineLevel="0" collapsed="false">
      <c r="A783" s="161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 customFormat="false" ht="18" hidden="false" customHeight="true" outlineLevel="0" collapsed="false">
      <c r="A784" s="159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 customFormat="false" ht="18" hidden="false" customHeight="true" outlineLevel="0" collapsed="false">
      <c r="A785" s="161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 customFormat="false" ht="18" hidden="false" customHeight="true" outlineLevel="0" collapsed="false">
      <c r="A786" s="159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 customFormat="false" ht="18" hidden="false" customHeight="true" outlineLevel="0" collapsed="false">
      <c r="A787" s="161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 customFormat="false" ht="18" hidden="false" customHeight="true" outlineLevel="0" collapsed="false">
      <c r="A788" s="159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 customFormat="false" ht="18" hidden="false" customHeight="true" outlineLevel="0" collapsed="false">
      <c r="A789" s="161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 customFormat="false" ht="18" hidden="false" customHeight="true" outlineLevel="0" collapsed="false">
      <c r="A790" s="159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 customFormat="false" ht="18" hidden="false" customHeight="true" outlineLevel="0" collapsed="false">
      <c r="A791" s="161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 customFormat="false" ht="18" hidden="false" customHeight="true" outlineLevel="0" collapsed="false">
      <c r="A792" s="159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 customFormat="false" ht="18" hidden="false" customHeight="true" outlineLevel="0" collapsed="false">
      <c r="A793" s="161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 customFormat="false" ht="18" hidden="false" customHeight="true" outlineLevel="0" collapsed="false">
      <c r="A794" s="159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 customFormat="false" ht="18" hidden="false" customHeight="true" outlineLevel="0" collapsed="false">
      <c r="A795" s="161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 customFormat="false" ht="18" hidden="false" customHeight="true" outlineLevel="0" collapsed="false">
      <c r="A796" s="159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 customFormat="false" ht="18" hidden="false" customHeight="true" outlineLevel="0" collapsed="false">
      <c r="A797" s="161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 customFormat="false" ht="18" hidden="false" customHeight="true" outlineLevel="0" collapsed="false">
      <c r="A798" s="159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 customFormat="false" ht="18" hidden="false" customHeight="true" outlineLevel="0" collapsed="false">
      <c r="A799" s="161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 customFormat="false" ht="18" hidden="false" customHeight="true" outlineLevel="0" collapsed="false">
      <c r="A800" s="159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 customFormat="false" ht="18" hidden="false" customHeight="true" outlineLevel="0" collapsed="false">
      <c r="A801" s="161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 customFormat="false" ht="18" hidden="false" customHeight="true" outlineLevel="0" collapsed="false">
      <c r="A802" s="159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 customFormat="false" ht="18" hidden="false" customHeight="true" outlineLevel="0" collapsed="false">
      <c r="A803" s="161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 customFormat="false" ht="18" hidden="false" customHeight="true" outlineLevel="0" collapsed="false">
      <c r="A804" s="159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 customFormat="false" ht="18" hidden="false" customHeight="true" outlineLevel="0" collapsed="false">
      <c r="A805" s="161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 customFormat="false" ht="18" hidden="false" customHeight="true" outlineLevel="0" collapsed="false">
      <c r="A806" s="159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 customFormat="false" ht="18" hidden="false" customHeight="true" outlineLevel="0" collapsed="false">
      <c r="A807" s="161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 customFormat="false" ht="18" hidden="false" customHeight="true" outlineLevel="0" collapsed="false">
      <c r="A808" s="159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 customFormat="false" ht="18" hidden="false" customHeight="true" outlineLevel="0" collapsed="false">
      <c r="A809" s="161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 customFormat="false" ht="18" hidden="false" customHeight="true" outlineLevel="0" collapsed="false">
      <c r="A810" s="159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 customFormat="false" ht="18" hidden="false" customHeight="true" outlineLevel="0" collapsed="false">
      <c r="A811" s="161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 customFormat="false" ht="18" hidden="false" customHeight="true" outlineLevel="0" collapsed="false">
      <c r="A812" s="159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 customFormat="false" ht="18" hidden="false" customHeight="true" outlineLevel="0" collapsed="false">
      <c r="A813" s="161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 customFormat="false" ht="18" hidden="false" customHeight="true" outlineLevel="0" collapsed="false">
      <c r="A814" s="159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 customFormat="false" ht="18" hidden="false" customHeight="true" outlineLevel="0" collapsed="false">
      <c r="A815" s="161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 customFormat="false" ht="18" hidden="false" customHeight="true" outlineLevel="0" collapsed="false">
      <c r="A816" s="159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 customFormat="false" ht="18" hidden="false" customHeight="true" outlineLevel="0" collapsed="false">
      <c r="A817" s="161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 customFormat="false" ht="18" hidden="false" customHeight="true" outlineLevel="0" collapsed="false">
      <c r="A818" s="159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 customFormat="false" ht="18" hidden="false" customHeight="true" outlineLevel="0" collapsed="false">
      <c r="A819" s="161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 customFormat="false" ht="18" hidden="false" customHeight="true" outlineLevel="0" collapsed="false">
      <c r="A820" s="159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 customFormat="false" ht="18" hidden="false" customHeight="true" outlineLevel="0" collapsed="false">
      <c r="A821" s="161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 customFormat="false" ht="18" hidden="false" customHeight="true" outlineLevel="0" collapsed="false">
      <c r="A822" s="159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 customFormat="false" ht="18" hidden="false" customHeight="true" outlineLevel="0" collapsed="false">
      <c r="A823" s="161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 customFormat="false" ht="18" hidden="false" customHeight="true" outlineLevel="0" collapsed="false">
      <c r="A824" s="159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 customFormat="false" ht="18" hidden="false" customHeight="true" outlineLevel="0" collapsed="false">
      <c r="A825" s="161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 customFormat="false" ht="18" hidden="false" customHeight="true" outlineLevel="0" collapsed="false">
      <c r="A826" s="159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 customFormat="false" ht="18" hidden="false" customHeight="true" outlineLevel="0" collapsed="false">
      <c r="A827" s="161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 customFormat="false" ht="18" hidden="false" customHeight="true" outlineLevel="0" collapsed="false">
      <c r="A828" s="159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 customFormat="false" ht="18" hidden="false" customHeight="true" outlineLevel="0" collapsed="false">
      <c r="A829" s="161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 customFormat="false" ht="18" hidden="false" customHeight="true" outlineLevel="0" collapsed="false">
      <c r="A830" s="159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 customFormat="false" ht="18" hidden="false" customHeight="true" outlineLevel="0" collapsed="false">
      <c r="A831" s="161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 customFormat="false" ht="18" hidden="false" customHeight="true" outlineLevel="0" collapsed="false">
      <c r="A832" s="159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 customFormat="false" ht="18" hidden="false" customHeight="true" outlineLevel="0" collapsed="false">
      <c r="A833" s="161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 customFormat="false" ht="18" hidden="false" customHeight="true" outlineLevel="0" collapsed="false">
      <c r="A834" s="159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 customFormat="false" ht="18" hidden="false" customHeight="true" outlineLevel="0" collapsed="false">
      <c r="A835" s="161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 customFormat="false" ht="18" hidden="false" customHeight="true" outlineLevel="0" collapsed="false">
      <c r="A836" s="159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 customFormat="false" ht="18" hidden="false" customHeight="true" outlineLevel="0" collapsed="false">
      <c r="A837" s="161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 customFormat="false" ht="18" hidden="false" customHeight="true" outlineLevel="0" collapsed="false">
      <c r="A838" s="159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 customFormat="false" ht="18" hidden="false" customHeight="true" outlineLevel="0" collapsed="false">
      <c r="A839" s="161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 customFormat="false" ht="18" hidden="false" customHeight="true" outlineLevel="0" collapsed="false">
      <c r="A840" s="159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 customFormat="false" ht="18" hidden="false" customHeight="true" outlineLevel="0" collapsed="false">
      <c r="A841" s="161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 customFormat="false" ht="18" hidden="false" customHeight="true" outlineLevel="0" collapsed="false">
      <c r="A842" s="159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 customFormat="false" ht="18" hidden="false" customHeight="true" outlineLevel="0" collapsed="false">
      <c r="A843" s="161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 customFormat="false" ht="18" hidden="false" customHeight="true" outlineLevel="0" collapsed="false">
      <c r="A844" s="159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 customFormat="false" ht="18" hidden="false" customHeight="true" outlineLevel="0" collapsed="false">
      <c r="A845" s="161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 customFormat="false" ht="18" hidden="false" customHeight="true" outlineLevel="0" collapsed="false">
      <c r="A846" s="159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 customFormat="false" ht="18" hidden="false" customHeight="true" outlineLevel="0" collapsed="false">
      <c r="A847" s="161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 customFormat="false" ht="18" hidden="false" customHeight="true" outlineLevel="0" collapsed="false">
      <c r="A848" s="159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 customFormat="false" ht="18" hidden="false" customHeight="true" outlineLevel="0" collapsed="false">
      <c r="A849" s="161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 customFormat="false" ht="18" hidden="false" customHeight="true" outlineLevel="0" collapsed="false">
      <c r="A850" s="159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 customFormat="false" ht="18" hidden="false" customHeight="true" outlineLevel="0" collapsed="false">
      <c r="A851" s="161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 customFormat="false" ht="18" hidden="false" customHeight="true" outlineLevel="0" collapsed="false">
      <c r="A852" s="159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 customFormat="false" ht="18" hidden="false" customHeight="true" outlineLevel="0" collapsed="false">
      <c r="A853" s="161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 customFormat="false" ht="18" hidden="false" customHeight="true" outlineLevel="0" collapsed="false">
      <c r="A854" s="159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 customFormat="false" ht="18" hidden="false" customHeight="true" outlineLevel="0" collapsed="false">
      <c r="A855" s="161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 customFormat="false" ht="18" hidden="false" customHeight="true" outlineLevel="0" collapsed="false">
      <c r="A856" s="159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 customFormat="false" ht="18" hidden="false" customHeight="true" outlineLevel="0" collapsed="false">
      <c r="A857" s="161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 customFormat="false" ht="18" hidden="false" customHeight="true" outlineLevel="0" collapsed="false">
      <c r="A858" s="159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 customFormat="false" ht="18" hidden="false" customHeight="true" outlineLevel="0" collapsed="false">
      <c r="A859" s="161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 customFormat="false" ht="18" hidden="false" customHeight="true" outlineLevel="0" collapsed="false">
      <c r="A860" s="159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 customFormat="false" ht="18" hidden="false" customHeight="true" outlineLevel="0" collapsed="false">
      <c r="A861" s="161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 customFormat="false" ht="18" hidden="false" customHeight="true" outlineLevel="0" collapsed="false">
      <c r="A862" s="159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 customFormat="false" ht="18" hidden="false" customHeight="true" outlineLevel="0" collapsed="false">
      <c r="A863" s="161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 customFormat="false" ht="18" hidden="false" customHeight="true" outlineLevel="0" collapsed="false">
      <c r="A864" s="159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 customFormat="false" ht="18" hidden="false" customHeight="true" outlineLevel="0" collapsed="false">
      <c r="A865" s="161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 customFormat="false" ht="18" hidden="false" customHeight="true" outlineLevel="0" collapsed="false">
      <c r="A866" s="159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 customFormat="false" ht="18" hidden="false" customHeight="true" outlineLevel="0" collapsed="false">
      <c r="A867" s="161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 customFormat="false" ht="18" hidden="false" customHeight="true" outlineLevel="0" collapsed="false">
      <c r="A868" s="159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 customFormat="false" ht="18" hidden="false" customHeight="true" outlineLevel="0" collapsed="false">
      <c r="A869" s="161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 customFormat="false" ht="18" hidden="false" customHeight="true" outlineLevel="0" collapsed="false">
      <c r="A870" s="159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 customFormat="false" ht="18" hidden="false" customHeight="true" outlineLevel="0" collapsed="false">
      <c r="A871" s="161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 customFormat="false" ht="18" hidden="false" customHeight="true" outlineLevel="0" collapsed="false">
      <c r="A872" s="159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 customFormat="false" ht="18" hidden="false" customHeight="true" outlineLevel="0" collapsed="false">
      <c r="A873" s="161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 customFormat="false" ht="18" hidden="false" customHeight="true" outlineLevel="0" collapsed="false">
      <c r="A874" s="159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 customFormat="false" ht="18" hidden="false" customHeight="true" outlineLevel="0" collapsed="false">
      <c r="A875" s="161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 customFormat="false" ht="18" hidden="false" customHeight="true" outlineLevel="0" collapsed="false">
      <c r="A876" s="159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 customFormat="false" ht="18" hidden="false" customHeight="true" outlineLevel="0" collapsed="false">
      <c r="A877" s="161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 customFormat="false" ht="18" hidden="false" customHeight="true" outlineLevel="0" collapsed="false">
      <c r="A878" s="159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 customFormat="false" ht="18" hidden="false" customHeight="true" outlineLevel="0" collapsed="false">
      <c r="A879" s="161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 customFormat="false" ht="18" hidden="false" customHeight="true" outlineLevel="0" collapsed="false">
      <c r="A880" s="159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 customFormat="false" ht="18" hidden="false" customHeight="true" outlineLevel="0" collapsed="false">
      <c r="A881" s="161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 customFormat="false" ht="18" hidden="false" customHeight="true" outlineLevel="0" collapsed="false">
      <c r="A882" s="159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 customFormat="false" ht="18" hidden="false" customHeight="true" outlineLevel="0" collapsed="false">
      <c r="A883" s="161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 customFormat="false" ht="18" hidden="false" customHeight="true" outlineLevel="0" collapsed="false">
      <c r="A884" s="159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 customFormat="false" ht="18" hidden="false" customHeight="true" outlineLevel="0" collapsed="false">
      <c r="A885" s="161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 customFormat="false" ht="18" hidden="false" customHeight="true" outlineLevel="0" collapsed="false">
      <c r="A886" s="159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 customFormat="false" ht="18" hidden="false" customHeight="true" outlineLevel="0" collapsed="false">
      <c r="A887" s="161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 customFormat="false" ht="18" hidden="false" customHeight="true" outlineLevel="0" collapsed="false">
      <c r="A888" s="159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 customFormat="false" ht="18" hidden="false" customHeight="true" outlineLevel="0" collapsed="false">
      <c r="A889" s="161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 customFormat="false" ht="18" hidden="false" customHeight="true" outlineLevel="0" collapsed="false">
      <c r="A890" s="159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 customFormat="false" ht="18" hidden="false" customHeight="true" outlineLevel="0" collapsed="false">
      <c r="A891" s="161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 customFormat="false" ht="18" hidden="false" customHeight="true" outlineLevel="0" collapsed="false">
      <c r="A892" s="159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 customFormat="false" ht="18" hidden="false" customHeight="true" outlineLevel="0" collapsed="false">
      <c r="A893" s="161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 customFormat="false" ht="18" hidden="false" customHeight="true" outlineLevel="0" collapsed="false">
      <c r="A894" s="159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 customFormat="false" ht="18" hidden="false" customHeight="true" outlineLevel="0" collapsed="false">
      <c r="A895" s="161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 customFormat="false" ht="18" hidden="false" customHeight="true" outlineLevel="0" collapsed="false">
      <c r="A896" s="159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 customFormat="false" ht="18" hidden="false" customHeight="true" outlineLevel="0" collapsed="false">
      <c r="A897" s="161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 customFormat="false" ht="18" hidden="false" customHeight="true" outlineLevel="0" collapsed="false">
      <c r="A898" s="159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 customFormat="false" ht="18" hidden="false" customHeight="true" outlineLevel="0" collapsed="false">
      <c r="A899" s="161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 customFormat="false" ht="18" hidden="false" customHeight="true" outlineLevel="0" collapsed="false">
      <c r="A900" s="159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 customFormat="false" ht="18" hidden="false" customHeight="true" outlineLevel="0" collapsed="false">
      <c r="A901" s="161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 customFormat="false" ht="18" hidden="false" customHeight="true" outlineLevel="0" collapsed="false">
      <c r="A902" s="159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 customFormat="false" ht="18" hidden="false" customHeight="true" outlineLevel="0" collapsed="false">
      <c r="A903" s="161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 customFormat="false" ht="18" hidden="false" customHeight="true" outlineLevel="0" collapsed="false">
      <c r="A904" s="159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 customFormat="false" ht="18" hidden="false" customHeight="true" outlineLevel="0" collapsed="false">
      <c r="A905" s="161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 customFormat="false" ht="18" hidden="false" customHeight="true" outlineLevel="0" collapsed="false">
      <c r="A906" s="159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 customFormat="false" ht="18" hidden="false" customHeight="true" outlineLevel="0" collapsed="false">
      <c r="A907" s="161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 customFormat="false" ht="18" hidden="false" customHeight="true" outlineLevel="0" collapsed="false">
      <c r="A908" s="159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 customFormat="false" ht="18" hidden="false" customHeight="true" outlineLevel="0" collapsed="false">
      <c r="A909" s="161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 customFormat="false" ht="18" hidden="false" customHeight="true" outlineLevel="0" collapsed="false">
      <c r="A910" s="159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 customFormat="false" ht="18" hidden="false" customHeight="true" outlineLevel="0" collapsed="false">
      <c r="A911" s="161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 customFormat="false" ht="18" hidden="false" customHeight="true" outlineLevel="0" collapsed="false">
      <c r="A912" s="159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 customFormat="false" ht="18" hidden="false" customHeight="true" outlineLevel="0" collapsed="false">
      <c r="A913" s="161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 customFormat="false" ht="18" hidden="false" customHeight="true" outlineLevel="0" collapsed="false">
      <c r="A914" s="159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 customFormat="false" ht="18" hidden="false" customHeight="true" outlineLevel="0" collapsed="false">
      <c r="A915" s="161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 customFormat="false" ht="18" hidden="false" customHeight="true" outlineLevel="0" collapsed="false">
      <c r="A916" s="159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 customFormat="false" ht="18" hidden="false" customHeight="true" outlineLevel="0" collapsed="false">
      <c r="A917" s="161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 customFormat="false" ht="18" hidden="false" customHeight="true" outlineLevel="0" collapsed="false">
      <c r="A918" s="159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 customFormat="false" ht="18" hidden="false" customHeight="true" outlineLevel="0" collapsed="false">
      <c r="A919" s="161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 customFormat="false" ht="18" hidden="false" customHeight="true" outlineLevel="0" collapsed="false">
      <c r="A920" s="159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 customFormat="false" ht="18" hidden="false" customHeight="true" outlineLevel="0" collapsed="false">
      <c r="A921" s="161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 customFormat="false" ht="18" hidden="false" customHeight="true" outlineLevel="0" collapsed="false">
      <c r="A922" s="159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 customFormat="false" ht="18" hidden="false" customHeight="true" outlineLevel="0" collapsed="false">
      <c r="A923" s="161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 customFormat="false" ht="18" hidden="false" customHeight="true" outlineLevel="0" collapsed="false">
      <c r="A924" s="159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 customFormat="false" ht="18" hidden="false" customHeight="true" outlineLevel="0" collapsed="false">
      <c r="A925" s="161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 customFormat="false" ht="18" hidden="false" customHeight="true" outlineLevel="0" collapsed="false">
      <c r="A926" s="159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 customFormat="false" ht="18" hidden="false" customHeight="true" outlineLevel="0" collapsed="false">
      <c r="A927" s="161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 customFormat="false" ht="18" hidden="false" customHeight="true" outlineLevel="0" collapsed="false">
      <c r="A928" s="159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 customFormat="false" ht="18" hidden="false" customHeight="true" outlineLevel="0" collapsed="false">
      <c r="A929" s="161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 customFormat="false" ht="18" hidden="false" customHeight="true" outlineLevel="0" collapsed="false">
      <c r="A930" s="159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 customFormat="false" ht="18" hidden="false" customHeight="true" outlineLevel="0" collapsed="false">
      <c r="A931" s="161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 customFormat="false" ht="18" hidden="false" customHeight="true" outlineLevel="0" collapsed="false">
      <c r="A932" s="159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 customFormat="false" ht="18" hidden="false" customHeight="true" outlineLevel="0" collapsed="false">
      <c r="A933" s="161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 customFormat="false" ht="18" hidden="false" customHeight="true" outlineLevel="0" collapsed="false">
      <c r="A934" s="159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 customFormat="false" ht="18" hidden="false" customHeight="true" outlineLevel="0" collapsed="false">
      <c r="A935" s="161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 customFormat="false" ht="18" hidden="false" customHeight="true" outlineLevel="0" collapsed="false">
      <c r="A936" s="159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 customFormat="false" ht="18" hidden="false" customHeight="true" outlineLevel="0" collapsed="false">
      <c r="A937" s="161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 customFormat="false" ht="18" hidden="false" customHeight="true" outlineLevel="0" collapsed="false">
      <c r="A938" s="159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 customFormat="false" ht="18" hidden="false" customHeight="true" outlineLevel="0" collapsed="false">
      <c r="A939" s="161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 customFormat="false" ht="18" hidden="false" customHeight="true" outlineLevel="0" collapsed="false">
      <c r="A940" s="159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 customFormat="false" ht="18" hidden="false" customHeight="true" outlineLevel="0" collapsed="false">
      <c r="A941" s="161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 customFormat="false" ht="18" hidden="false" customHeight="true" outlineLevel="0" collapsed="false">
      <c r="A942" s="159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 customFormat="false" ht="18" hidden="false" customHeight="true" outlineLevel="0" collapsed="false">
      <c r="A943" s="161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 customFormat="false" ht="18" hidden="false" customHeight="true" outlineLevel="0" collapsed="false">
      <c r="A944" s="159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 customFormat="false" ht="18" hidden="false" customHeight="true" outlineLevel="0" collapsed="false">
      <c r="A945" s="161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 customFormat="false" ht="18" hidden="false" customHeight="true" outlineLevel="0" collapsed="false">
      <c r="A946" s="159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 customFormat="false" ht="18" hidden="false" customHeight="true" outlineLevel="0" collapsed="false">
      <c r="A947" s="161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 customFormat="false" ht="18" hidden="false" customHeight="true" outlineLevel="0" collapsed="false">
      <c r="A948" s="159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 customFormat="false" ht="18" hidden="false" customHeight="true" outlineLevel="0" collapsed="false">
      <c r="A949" s="161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 customFormat="false" ht="18" hidden="false" customHeight="true" outlineLevel="0" collapsed="false">
      <c r="A950" s="159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 customFormat="false" ht="18" hidden="false" customHeight="true" outlineLevel="0" collapsed="false">
      <c r="A951" s="161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 customFormat="false" ht="18" hidden="false" customHeight="true" outlineLevel="0" collapsed="false">
      <c r="A952" s="159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 customFormat="false" ht="18" hidden="false" customHeight="true" outlineLevel="0" collapsed="false">
      <c r="A953" s="161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 customFormat="false" ht="18" hidden="false" customHeight="true" outlineLevel="0" collapsed="false">
      <c r="A954" s="159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 customFormat="false" ht="18" hidden="false" customHeight="true" outlineLevel="0" collapsed="false">
      <c r="A955" s="161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 customFormat="false" ht="18" hidden="false" customHeight="true" outlineLevel="0" collapsed="false">
      <c r="A956" s="159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 customFormat="false" ht="18" hidden="false" customHeight="true" outlineLevel="0" collapsed="false">
      <c r="A957" s="161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 customFormat="false" ht="18" hidden="false" customHeight="true" outlineLevel="0" collapsed="false">
      <c r="A958" s="159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 customFormat="false" ht="18" hidden="false" customHeight="true" outlineLevel="0" collapsed="false">
      <c r="A959" s="161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 customFormat="false" ht="18" hidden="false" customHeight="true" outlineLevel="0" collapsed="false">
      <c r="A960" s="159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 customFormat="false" ht="18" hidden="false" customHeight="true" outlineLevel="0" collapsed="false">
      <c r="A961" s="161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 customFormat="false" ht="18" hidden="false" customHeight="true" outlineLevel="0" collapsed="false">
      <c r="A962" s="159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 customFormat="false" ht="18" hidden="false" customHeight="true" outlineLevel="0" collapsed="false">
      <c r="A963" s="161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 customFormat="false" ht="18" hidden="false" customHeight="true" outlineLevel="0" collapsed="false">
      <c r="A964" s="159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 customFormat="false" ht="18" hidden="false" customHeight="true" outlineLevel="0" collapsed="false">
      <c r="A965" s="161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 customFormat="false" ht="18" hidden="false" customHeight="true" outlineLevel="0" collapsed="false">
      <c r="A966" s="159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 customFormat="false" ht="18" hidden="false" customHeight="true" outlineLevel="0" collapsed="false">
      <c r="A967" s="161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 customFormat="false" ht="18" hidden="false" customHeight="true" outlineLevel="0" collapsed="false">
      <c r="A968" s="159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 customFormat="false" ht="18" hidden="false" customHeight="true" outlineLevel="0" collapsed="false">
      <c r="A969" s="161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 customFormat="false" ht="18" hidden="false" customHeight="true" outlineLevel="0" collapsed="false">
      <c r="A970" s="159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 customFormat="false" ht="18" hidden="false" customHeight="true" outlineLevel="0" collapsed="false">
      <c r="A971" s="161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 customFormat="false" ht="18" hidden="false" customHeight="true" outlineLevel="0" collapsed="false">
      <c r="A972" s="159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 customFormat="false" ht="18" hidden="false" customHeight="true" outlineLevel="0" collapsed="false">
      <c r="A973" s="161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 customFormat="false" ht="18" hidden="false" customHeight="true" outlineLevel="0" collapsed="false">
      <c r="A974" s="159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 customFormat="false" ht="18" hidden="false" customHeight="true" outlineLevel="0" collapsed="false">
      <c r="A975" s="161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 customFormat="false" ht="18" hidden="false" customHeight="true" outlineLevel="0" collapsed="false">
      <c r="A976" s="159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 customFormat="false" ht="18" hidden="false" customHeight="true" outlineLevel="0" collapsed="false">
      <c r="A977" s="161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 customFormat="false" ht="18" hidden="false" customHeight="true" outlineLevel="0" collapsed="false">
      <c r="A978" s="159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 customFormat="false" ht="18" hidden="false" customHeight="true" outlineLevel="0" collapsed="false">
      <c r="A979" s="161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 customFormat="false" ht="18" hidden="false" customHeight="true" outlineLevel="0" collapsed="false">
      <c r="A980" s="159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 customFormat="false" ht="18" hidden="false" customHeight="true" outlineLevel="0" collapsed="false">
      <c r="A981" s="161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 customFormat="false" ht="18" hidden="false" customHeight="true" outlineLevel="0" collapsed="false">
      <c r="A982" s="159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 customFormat="false" ht="18" hidden="false" customHeight="true" outlineLevel="0" collapsed="false">
      <c r="A983" s="161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 customFormat="false" ht="18" hidden="false" customHeight="true" outlineLevel="0" collapsed="false">
      <c r="A984" s="159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 customFormat="false" ht="18" hidden="false" customHeight="true" outlineLevel="0" collapsed="false">
      <c r="A985" s="161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 customFormat="false" ht="18" hidden="false" customHeight="true" outlineLevel="0" collapsed="false">
      <c r="A986" s="159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 customFormat="false" ht="18" hidden="false" customHeight="true" outlineLevel="0" collapsed="false">
      <c r="A987" s="161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 customFormat="false" ht="18" hidden="false" customHeight="true" outlineLevel="0" collapsed="false">
      <c r="A988" s="159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 customFormat="false" ht="18" hidden="false" customHeight="true" outlineLevel="0" collapsed="false">
      <c r="A989" s="161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 customFormat="false" ht="18" hidden="false" customHeight="true" outlineLevel="0" collapsed="false">
      <c r="A990" s="159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 customFormat="false" ht="18" hidden="false" customHeight="true" outlineLevel="0" collapsed="false">
      <c r="A991" s="161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 customFormat="false" ht="18" hidden="false" customHeight="true" outlineLevel="0" collapsed="false">
      <c r="A992" s="159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 customFormat="false" ht="18" hidden="false" customHeight="true" outlineLevel="0" collapsed="false">
      <c r="A993" s="161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 customFormat="false" ht="18" hidden="false" customHeight="true" outlineLevel="0" collapsed="false">
      <c r="A994" s="159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 customFormat="false" ht="18" hidden="false" customHeight="true" outlineLevel="0" collapsed="false">
      <c r="A995" s="161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 customFormat="false" ht="18" hidden="false" customHeight="true" outlineLevel="0" collapsed="false">
      <c r="A996" s="159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 customFormat="false" ht="18" hidden="false" customHeight="true" outlineLevel="0" collapsed="false">
      <c r="A997" s="161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 customFormat="false" ht="18" hidden="false" customHeight="true" outlineLevel="0" collapsed="false">
      <c r="A998" s="159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 customFormat="false" ht="18" hidden="false" customHeight="true" outlineLevel="0" collapsed="false">
      <c r="A999" s="161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 customFormat="false" ht="18" hidden="false" customHeight="true" outlineLevel="0" collapsed="false">
      <c r="A1000" s="159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  <row r="1001" customFormat="false" ht="18" hidden="false" customHeight="true" outlineLevel="0" collapsed="false">
      <c r="A1001" s="161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2026-07-22T21:12:18Z</dcterms:created>
  <dc:creator>openpyxl</dc:creator>
  <dc:description/>
  <dc:language>en-US</dc:language>
  <cp:lastModifiedBy/>
  <dcterms:modified xsi:type="dcterms:W3CDTF">2026-09-01T19:26:48Z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